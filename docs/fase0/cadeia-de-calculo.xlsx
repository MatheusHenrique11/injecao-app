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Cadeia" sheetId="2" r:id="rId2"/>
    <sheet name="Iteracao" sheetId="3" r:id="rId3"/>
    <sheet name="Combustiveis" sheetId="4" r:id="rId4"/>
    <sheet name="Conferencia" sheetId="5" r:id="rId5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/>
  </borders>
  <cellStyleXfs count="1">
    <xf/>
  </cellStyleXfs>
  <cellXfs count="10">
    <xf/>
    <xf fontId="1" fillId="5" applyFont="1" applyFill="1"/>
    <xf numFmtId="164" fillId="2" applyFill="1" applyNumberFormat="1"/>
    <xf numFmtId="164" fillId="3" applyFill="1" applyNumberFormat="1"/>
    <xf numFmtId="10" fillId="2" applyFill="1" applyNumberFormat="1"/>
    <xf numFmtId="10" fillId="3" applyFill="1" applyNumberFormat="1"/>
    <xf fontId="2" applyFont="1"/>
    <xf fontId="1" applyFont="1"/>
    <xf fontId="1" fillId="4" applyFont="1" applyFill="1"/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0" customWidth="1"/>
  </cols>
  <sheetData>
    <row r="1">
      <c r="A1" s="6" t="inlineStr">
        <is>
          <t xml:space="preserve">Planilha de conferência - SPEC Calibra</t>
        </is>
      </c>
    </row>
    <row r="3">
      <c r="A3" s="0" t="inlineStr">
        <is>
          <t xml:space="preserve">Objetivo: conferir as fórmulas da SPEC (seção 7.1) e os casos golden (7.6) antes de escrever o calibra-core.</t>
        </is>
      </c>
    </row>
    <row r="4">
      <c r="A4" s="0" t="inlineStr">
        <is>
          <t xml:space="preserve">Amarelo = entrada; azul = cálculo (não editar); verde = conferência.</t>
        </is>
      </c>
    </row>
    <row r="5">
      <c r="A5" s="0" t="inlineStr">
        <is>
          <t xml:space="preserve">Abas: Cadeia (fórmulas, colunas = golden A a D), Iteracao (MAP-Tm), Combustiveis (SPEC 7.2), Conferencia (esperado x calculado, 1%).</t>
        </is>
      </c>
    </row>
    <row r="6">
      <c r="A6" s="0" t="inlineStr">
        <is>
          <t xml:space="preserve">Golden B usa 2.000 cc (a spec não dá o diâmetro). Golden A usa o caminho por BSFC; B, C e D usam k_ar. Ver docs/decisoes.md.</t>
        </is>
      </c>
    </row>
    <row r="7">
      <c r="A7" s="0" t="inlineStr">
        <is>
          <t xml:space="preserve">Esta planilha é gerada por gerar-planilha.ps1. Para mudar de verdade, editar o script e gerar de novo.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8" customWidth="1"/>
    <col min="2" max="2" width="14" customWidth="1"/>
    <col min="3" max="3" width="16" customWidth="1"/>
    <col min="4" max="4" width="18" customWidth="1"/>
    <col min="5" max="5" width="18" customWidth="1"/>
    <col min="6" max="6" width="20" customWidth="1"/>
    <col min="7" max="7" width="48" customWidth="1"/>
  </cols>
  <sheetData>
    <row r="1">
      <c r="A1" s="6" t="inlineStr">
        <is>
          <t xml:space="preserve">Cadeia de cálculo - fórmulas da SPEC 7.1</t>
        </is>
      </c>
    </row>
    <row r="2">
      <c r="A2" s="9" t="inlineStr">
        <is>
          <t xml:space="preserve">Colunas C a F = casos golden A a D da SPEC 7.6. Amarelo = entrada; azul = cálculo. A iteração MAP-Tm está na aba Iteracao; a conferência de 1% na aba Conferencia.</t>
        </is>
      </c>
    </row>
    <row r="3">
      <c r="A3" s="1" t="inlineStr">
        <is>
          <t xml:space="preserve">Item</t>
        </is>
      </c>
      <c r="B3" s="1" t="inlineStr">
        <is>
          <t xml:space="preserve">Unidade</t>
        </is>
      </c>
      <c r="C3" s="1" t="inlineStr">
        <is>
          <t xml:space="preserve">A Garrett</t>
        </is>
      </c>
      <c r="D3" s="1" t="inlineStr">
        <is>
          <t xml:space="preserve">B 2.0 turbo EHC</t>
        </is>
      </c>
      <c r="E3" s="1" t="inlineStr">
        <is>
          <t xml:space="preserve">C 1.0 3 cil E32</t>
        </is>
      </c>
      <c r="F3" s="1" t="inlineStr">
        <is>
          <t xml:space="preserve">D V12 aspirado E32</t>
        </is>
      </c>
      <c r="G3" s="9" t="inlineStr">
        <is>
          <t xml:space="preserve">Observação</t>
        </is>
      </c>
    </row>
    <row r="4">
      <c r="A4" s="7" t="inlineStr">
        <is>
          <t xml:space="preserve">ENTRADAS</t>
        </is>
      </c>
    </row>
    <row r="5">
      <c r="A5" s="0" t="inlineStr">
        <is>
          <t xml:space="preserve">Potência no virabrequim</t>
        </is>
      </c>
      <c r="B5" s="0" t="inlineStr">
        <is>
          <t xml:space="preserve">cv</t>
        </is>
      </c>
      <c r="C5" s="2">
        <f>650/0.98632</f>
      </c>
      <c r="D5" s="2">
        <v>400</v>
      </c>
      <c r="E5" s="2">
        <v>150</v>
      </c>
      <c r="F5" s="2">
        <v>450</v>
      </c>
      <c r="G5" s="9" t="inlineStr">
        <is>
          <t xml:space="preserve">A: 650 hp</t>
        </is>
      </c>
    </row>
    <row r="6">
      <c r="A6" s="0" t="inlineStr">
        <is>
          <t xml:space="preserve">Caminho da vazão de ar</t>
        </is>
      </c>
      <c r="B6" s="0" t="inlineStr">
        <is>
          <t xml:space="preserve">-</t>
        </is>
      </c>
      <c r="C6" s="2" t="inlineStr">
        <is>
          <t xml:space="preserve">BSFC</t>
        </is>
      </c>
      <c r="D6" s="2" t="inlineStr">
        <is>
          <t xml:space="preserve">K_AR</t>
        </is>
      </c>
      <c r="E6" s="2" t="inlineStr">
        <is>
          <t xml:space="preserve">K_AR</t>
        </is>
      </c>
      <c r="F6" s="2" t="inlineStr">
        <is>
          <t xml:space="preserve">K_AR</t>
        </is>
      </c>
      <c r="G6" s="9" t="inlineStr">
        <is>
          <t xml:space="preserve">K_AR = padrão; BSFC = opcional (decisão 8)</t>
        </is>
      </c>
    </row>
    <row r="7">
      <c r="A7" s="0" t="inlineStr">
        <is>
          <t xml:space="preserve">k_ar</t>
        </is>
      </c>
      <c r="B7" s="0" t="inlineStr">
        <is>
          <t xml:space="preserve">hp por lb/min</t>
        </is>
      </c>
      <c r="C7" s="2">
        <v>10.5</v>
      </c>
      <c r="D7" s="2">
        <v>10.5</v>
      </c>
      <c r="E7" s="2">
        <v>10.5</v>
      </c>
      <c r="F7" s="2">
        <v>10.5</v>
      </c>
    </row>
    <row r="8">
      <c r="A8" s="0" t="inlineStr">
        <is>
          <t xml:space="preserve">A/F (caminho BSFC)</t>
        </is>
      </c>
      <c r="B8" s="0" t="inlineStr">
        <is>
          <t xml:space="preserve">:1</t>
        </is>
      </c>
      <c r="C8" s="2">
        <v>11.5</v>
      </c>
    </row>
    <row r="9">
      <c r="A9" s="0" t="inlineStr">
        <is>
          <t xml:space="preserve">BSFC (caminho BSFC)</t>
        </is>
      </c>
      <c r="B9" s="0" t="inlineStr">
        <is>
          <t xml:space="preserve">lb/hp·h</t>
        </is>
      </c>
      <c r="C9" s="2">
        <v>0.46</v>
      </c>
    </row>
    <row r="10">
      <c r="A10" s="0" t="inlineStr">
        <is>
          <t xml:space="preserve">AFR estequiométrico</t>
        </is>
      </c>
      <c r="B10" s="0" t="inlineStr">
        <is>
          <t xml:space="preserve">:1</t>
        </is>
      </c>
      <c r="D10" s="2">
        <f>Combustiveis!D13</f>
      </c>
      <c r="E10" s="2">
        <f>Combustiveis!D11</f>
      </c>
      <c r="F10" s="2">
        <f>Combustiveis!D11</f>
      </c>
    </row>
    <row r="11">
      <c r="A11" s="0" t="inlineStr">
        <is>
          <t xml:space="preserve">Lambda alvo</t>
        </is>
      </c>
      <c r="B11" s="0" t="inlineStr">
        <is>
          <t xml:space="preserve">λ</t>
        </is>
      </c>
      <c r="D11" s="2">
        <v>0.8</v>
      </c>
      <c r="E11" s="2">
        <v>0.8</v>
      </c>
      <c r="F11" s="2">
        <v>0.87</v>
      </c>
    </row>
    <row r="12">
      <c r="A12" s="0" t="inlineStr">
        <is>
          <t xml:space="preserve">Cilindros (1 bico por cilindro)</t>
        </is>
      </c>
      <c r="B12" s="0" t="inlineStr">
        <is>
          <t xml:space="preserve">-</t>
        </is>
      </c>
      <c r="D12" s="2">
        <v>4</v>
      </c>
      <c r="E12" s="2">
        <v>3</v>
      </c>
      <c r="F12" s="2">
        <v>12</v>
      </c>
    </row>
    <row r="13">
      <c r="A13" s="0" t="inlineStr">
        <is>
          <t xml:space="preserve">Diâmetro</t>
        </is>
      </c>
      <c r="B13" s="0" t="inlineStr">
        <is>
          <t xml:space="preserve">mm</t>
        </is>
      </c>
      <c r="D13" s="2">
        <f>SQRT(2000*1000/(PI()/4*92.8*4))</f>
      </c>
      <c r="E13" s="2">
        <v>74.5</v>
      </c>
      <c r="F13" s="2">
        <v>89</v>
      </c>
      <c r="G13" s="9" t="inlineStr">
        <is>
          <t xml:space="preserve">B: diâmetro que dá 2.000 cc (decisão 7)</t>
        </is>
      </c>
    </row>
    <row r="14">
      <c r="A14" s="0" t="inlineStr">
        <is>
          <t xml:space="preserve">Curso</t>
        </is>
      </c>
      <c r="B14" s="0" t="inlineStr">
        <is>
          <t xml:space="preserve">mm</t>
        </is>
      </c>
      <c r="D14" s="2">
        <v>92.8</v>
      </c>
      <c r="E14" s="2">
        <v>76.4</v>
      </c>
      <c r="F14" s="2">
        <v>80.4</v>
      </c>
    </row>
    <row r="15">
      <c r="A15" s="0" t="inlineStr">
        <is>
          <t xml:space="preserve">Cilindrada informada (só A)</t>
        </is>
      </c>
      <c r="B15" s="0" t="inlineStr">
        <is>
          <t xml:space="preserve">pol³</t>
        </is>
      </c>
      <c r="C15" s="2">
        <v>348</v>
      </c>
    </row>
    <row r="16">
      <c r="A16" s="0" t="inlineStr">
        <is>
          <t xml:space="preserve">Rotação</t>
        </is>
      </c>
      <c r="B16" s="0" t="inlineStr">
        <is>
          <t xml:space="preserve">rpm</t>
        </is>
      </c>
      <c r="C16" s="2">
        <v>6000</v>
      </c>
      <c r="D16" s="2">
        <v>7000</v>
      </c>
      <c r="E16" s="2">
        <v>5500</v>
      </c>
      <c r="F16" s="2">
        <v>6500</v>
      </c>
    </row>
    <row r="17">
      <c r="A17" s="0" t="inlineStr">
        <is>
          <t xml:space="preserve">VE</t>
        </is>
      </c>
      <c r="B17" s="0" t="inlineStr">
        <is>
          <t xml:space="preserve">-</t>
        </is>
      </c>
      <c r="C17" s="2">
        <v>0.8</v>
      </c>
      <c r="D17" s="2">
        <v>0.95</v>
      </c>
      <c r="E17" s="2">
        <v>0.95</v>
      </c>
      <c r="F17" s="2">
        <v>0.9</v>
      </c>
    </row>
    <row r="18">
      <c r="A18" s="0" t="inlineStr">
        <is>
          <t xml:space="preserve">Sobrealimentação</t>
        </is>
      </c>
      <c r="B18" s="0" t="inlineStr">
        <is>
          <t xml:space="preserve">-</t>
        </is>
      </c>
      <c r="C18" s="2" t="inlineStr">
        <is>
          <t xml:space="preserve">FIXO</t>
        </is>
      </c>
      <c r="D18" s="2" t="inlineStr">
        <is>
          <t xml:space="preserve">SIM</t>
        </is>
      </c>
      <c r="E18" s="2" t="inlineStr">
        <is>
          <t xml:space="preserve">SIM</t>
        </is>
      </c>
      <c r="F18" s="2" t="inlineStr">
        <is>
          <t xml:space="preserve">NAO</t>
        </is>
      </c>
      <c r="G18" s="9" t="inlineStr">
        <is>
          <t xml:space="preserve">FIXO = Tm informado (exemplo Garrett)</t>
        </is>
      </c>
    </row>
    <row r="19">
      <c r="A19" s="0" t="inlineStr">
        <is>
          <t xml:space="preserve">Tm fixo (só A)</t>
        </is>
      </c>
      <c r="B19" s="0" t="inlineStr">
        <is>
          <t xml:space="preserve">°C</t>
        </is>
      </c>
      <c r="C19" s="2">
        <f>(130-32)*5/9</f>
      </c>
      <c r="G19" s="9" t="inlineStr">
        <is>
          <t xml:space="preserve">130 °F</t>
        </is>
      </c>
    </row>
    <row r="20">
      <c r="A20" s="0" t="inlineStr">
        <is>
          <t xml:space="preserve">Temperatura ambiente</t>
        </is>
      </c>
      <c r="B20" s="0" t="inlineStr">
        <is>
          <t xml:space="preserve">°C</t>
        </is>
      </c>
      <c r="D20" s="2">
        <v>25</v>
      </c>
      <c r="E20" s="2">
        <v>25</v>
      </c>
      <c r="F20" s="2">
        <v>25</v>
      </c>
    </row>
    <row r="21">
      <c r="A21" s="0" t="inlineStr">
        <is>
          <t xml:space="preserve">Altitude</t>
        </is>
      </c>
      <c r="B21" s="0" t="inlineStr">
        <is>
          <t xml:space="preserve">m</t>
        </is>
      </c>
      <c r="C21" s="2">
        <v>0</v>
      </c>
      <c r="D21" s="2">
        <v>600</v>
      </c>
      <c r="E21" s="2">
        <v>600</v>
      </c>
      <c r="F21" s="2">
        <v>600</v>
      </c>
    </row>
    <row r="22">
      <c r="A22" s="0" t="inlineStr">
        <is>
          <t xml:space="preserve">Perda depois do compressor</t>
        </is>
      </c>
      <c r="B22" s="0" t="inlineStr">
        <is>
          <t xml:space="preserve">psi</t>
        </is>
      </c>
      <c r="C22" s="2">
        <v>2</v>
      </c>
      <c r="D22" s="2">
        <v>2</v>
      </c>
      <c r="E22" s="2">
        <v>2</v>
      </c>
      <c r="F22" s="2">
        <v>2</v>
      </c>
    </row>
    <row r="23">
      <c r="A23" s="0" t="inlineStr">
        <is>
          <t xml:space="preserve">Perda antes do compressor</t>
        </is>
      </c>
      <c r="B23" s="0" t="inlineStr">
        <is>
          <t xml:space="preserve">psi</t>
        </is>
      </c>
      <c r="C23" s="2">
        <v>1</v>
      </c>
      <c r="D23" s="2">
        <v>1</v>
      </c>
      <c r="E23" s="2">
        <v>1</v>
      </c>
      <c r="F23" s="2">
        <v>1</v>
      </c>
    </row>
    <row r="24">
      <c r="A24" s="0" t="inlineStr">
        <is>
          <t xml:space="preserve">eta_c</t>
        </is>
      </c>
      <c r="B24" s="0" t="inlineStr">
        <is>
          <t xml:space="preserve">-</t>
        </is>
      </c>
      <c r="D24" s="2">
        <v>0.72</v>
      </c>
      <c r="E24" s="2">
        <v>0.72</v>
      </c>
    </row>
    <row r="25">
      <c r="A25" s="0" t="inlineStr">
        <is>
          <t xml:space="preserve">eps do intercooler</t>
        </is>
      </c>
      <c r="B25" s="0" t="inlineStr">
        <is>
          <t xml:space="preserve">-</t>
        </is>
      </c>
      <c r="D25" s="2">
        <v>0.8</v>
      </c>
      <c r="E25" s="2">
        <v>0.8</v>
      </c>
    </row>
    <row r="26">
      <c r="A26" s="0" t="inlineStr">
        <is>
          <t xml:space="preserve">Acréscimo de Tm no aspirado</t>
        </is>
      </c>
      <c r="B26" s="0" t="inlineStr">
        <is>
          <t xml:space="preserve">°C</t>
        </is>
      </c>
      <c r="F26" s="2">
        <v>10</v>
      </c>
    </row>
    <row r="27">
      <c r="A27" s="0" t="inlineStr">
        <is>
          <t xml:space="preserve">DC máximo</t>
        </is>
      </c>
      <c r="B27" s="0" t="inlineStr">
        <is>
          <t xml:space="preserve">-</t>
        </is>
      </c>
      <c r="D27" s="2">
        <v>0.8</v>
      </c>
      <c r="E27" s="2">
        <v>0.8</v>
      </c>
      <c r="F27" s="2">
        <v>0.8</v>
      </c>
    </row>
    <row r="28">
      <c r="A28" s="0" t="inlineStr">
        <is>
          <t xml:space="preserve">Densidade do combustível</t>
        </is>
      </c>
      <c r="B28" s="0" t="inlineStr">
        <is>
          <t xml:space="preserve">kg/L</t>
        </is>
      </c>
      <c r="D28" s="2">
        <f>Combustiveis!E13</f>
      </c>
      <c r="E28" s="2">
        <f>Combustiveis!E11</f>
      </c>
      <c r="F28" s="2">
        <f>Combustiveis!E11</f>
      </c>
    </row>
    <row r="29">
      <c r="A29" s="0" t="inlineStr">
        <is>
          <t xml:space="preserve">Densidade do fluido de teste</t>
        </is>
      </c>
      <c r="B29" s="0" t="inlineStr">
        <is>
          <t xml:space="preserve">kg/L</t>
        </is>
      </c>
      <c r="D29" s="2">
        <v>0.7</v>
      </c>
      <c r="E29" s="2">
        <v>0.7</v>
      </c>
      <c r="F29" s="2">
        <v>0.7</v>
      </c>
    </row>
    <row r="30">
      <c r="A30" s="0" t="inlineStr">
        <is>
          <t xml:space="preserve">Bico nominal</t>
        </is>
      </c>
      <c r="B30" s="0" t="inlineStr">
        <is>
          <t xml:space="preserve">cc/min</t>
        </is>
      </c>
      <c r="D30" s="2">
        <v>1050</v>
      </c>
      <c r="E30" s="2">
        <v>440</v>
      </c>
      <c r="F30" s="2">
        <v>260</v>
      </c>
    </row>
    <row r="31">
      <c r="A31" s="0" t="inlineStr">
        <is>
          <t xml:space="preserve">Pressão de teste do bico</t>
        </is>
      </c>
      <c r="B31" s="0" t="inlineStr">
        <is>
          <t xml:space="preserve">bar</t>
        </is>
      </c>
      <c r="D31" s="2">
        <v>3</v>
      </c>
      <c r="E31" s="2">
        <v>3</v>
      </c>
      <c r="F31" s="2">
        <v>3</v>
      </c>
    </row>
    <row r="32">
      <c r="A32" s="0" t="inlineStr">
        <is>
          <t xml:space="preserve">Pressão de trabalho (diferencial)</t>
        </is>
      </c>
      <c r="B32" s="0" t="inlineStr">
        <is>
          <t xml:space="preserve">bar</t>
        </is>
      </c>
      <c r="D32" s="2">
        <v>3</v>
      </c>
      <c r="E32" s="2">
        <v>3</v>
      </c>
      <c r="F32" s="2">
        <v>3</v>
      </c>
    </row>
    <row r="33">
      <c r="A33" s="0" t="inlineStr">
        <is>
          <t xml:space="preserve">Tempo morto</t>
        </is>
      </c>
      <c r="B33" s="0" t="inlineStr">
        <is>
          <t xml:space="preserve">ms</t>
        </is>
      </c>
      <c r="D33" s="2">
        <v>1</v>
      </c>
      <c r="E33" s="2">
        <v>1</v>
      </c>
      <c r="F33" s="2">
        <v>1</v>
      </c>
    </row>
    <row r="34">
      <c r="A34" s="0" t="inlineStr">
        <is>
          <t xml:space="preserve">Bico alternativo 1</t>
        </is>
      </c>
      <c r="B34" s="0" t="inlineStr">
        <is>
          <t xml:space="preserve">cc/min</t>
        </is>
      </c>
      <c r="D34" s="2">
        <v>1300</v>
      </c>
    </row>
    <row r="35">
      <c r="A35" s="0" t="inlineStr">
        <is>
          <t xml:space="preserve">Pressão do alternativo 1</t>
        </is>
      </c>
      <c r="B35" s="0" t="inlineStr">
        <is>
          <t xml:space="preserve">bar</t>
        </is>
      </c>
      <c r="D35" s="2">
        <v>3</v>
      </c>
    </row>
    <row r="36">
      <c r="A36" s="0" t="inlineStr">
        <is>
          <t xml:space="preserve">Bico alternativo 2</t>
        </is>
      </c>
      <c r="B36" s="0" t="inlineStr">
        <is>
          <t xml:space="preserve">cc/min</t>
        </is>
      </c>
      <c r="D36" s="2">
        <v>1050</v>
      </c>
    </row>
    <row r="37">
      <c r="A37" s="0" t="inlineStr">
        <is>
          <t xml:space="preserve">Pressão do alternativo 2</t>
        </is>
      </c>
      <c r="B37" s="0" t="inlineStr">
        <is>
          <t xml:space="preserve">bar</t>
        </is>
      </c>
      <c r="D37" s="2">
        <v>4</v>
      </c>
    </row>
    <row r="38">
      <c r="A38" s="7" t="inlineStr">
        <is>
          <t xml:space="preserve">CÁLCULOS</t>
        </is>
      </c>
    </row>
    <row r="39">
      <c r="A39" s="0" t="inlineStr">
        <is>
          <t xml:space="preserve">Potência</t>
        </is>
      </c>
      <c r="B39" s="0" t="inlineStr">
        <is>
          <t xml:space="preserve">hp</t>
        </is>
      </c>
      <c r="C39" s="3">
        <f>C5*0.98632</f>
      </c>
      <c r="D39" s="3">
        <f>D5*0.98632</f>
      </c>
      <c r="E39" s="3">
        <f>E5*0.98632</f>
      </c>
      <c r="F39" s="3">
        <f>F5*0.98632</f>
      </c>
    </row>
    <row r="40">
      <c r="A40" s="0" t="inlineStr">
        <is>
          <t xml:space="preserve">Potência</t>
        </is>
      </c>
      <c r="B40" s="0" t="inlineStr">
        <is>
          <t xml:space="preserve">kW</t>
        </is>
      </c>
      <c r="C40" s="3">
        <f>C5*0.7355</f>
      </c>
      <c r="D40" s="3">
        <f>D5*0.7355</f>
      </c>
      <c r="E40" s="3">
        <f>E5*0.7355</f>
      </c>
      <c r="F40" s="3">
        <f>F5*0.7355</f>
      </c>
    </row>
    <row r="41">
      <c r="A41" s="0" t="inlineStr">
        <is>
          <t xml:space="preserve">Vazão de ar Wa</t>
        </is>
      </c>
      <c r="B41" s="0" t="inlineStr">
        <is>
          <t xml:space="preserve">lb/min</t>
        </is>
      </c>
      <c r="C41" s="3">
        <f>IF(C6="BSFC",C39*C8*C9/60,C39/C7)</f>
      </c>
      <c r="D41" s="3">
        <f>IF(D6="BSFC",D39*D8*D9/60,D39/D7)</f>
      </c>
      <c r="E41" s="3">
        <f>IF(E6="BSFC",E39*E8*E9/60,E39/E7)</f>
      </c>
      <c r="F41" s="3">
        <f>IF(F6="BSFC",F39*F8*F9/60,F39/F7)</f>
      </c>
    </row>
    <row r="42">
      <c r="A42" s="0" t="inlineStr">
        <is>
          <t xml:space="preserve">Combustível mf</t>
        </is>
      </c>
      <c r="B42" s="0" t="inlineStr">
        <is>
          <t xml:space="preserve">lb/h</t>
        </is>
      </c>
      <c r="C42" s="3">
        <f>IF(C6="BSFC",C39*C9,60*C41/(C10*C11))</f>
      </c>
      <c r="D42" s="3">
        <f>IF(D6="BSFC",D39*D9,60*D41/(D10*D11))</f>
      </c>
      <c r="E42" s="3">
        <f>IF(E6="BSFC",E39*E9,60*E41/(E10*E11))</f>
      </c>
      <c r="F42" s="3">
        <f>IF(F6="BSFC",F39*F9,60*F41/(F10*F11))</f>
      </c>
    </row>
    <row r="43">
      <c r="A43" s="0" t="inlineStr">
        <is>
          <t xml:space="preserve">Combustível mf</t>
        </is>
      </c>
      <c r="B43" s="0" t="inlineStr">
        <is>
          <t xml:space="preserve">kg/h</t>
        </is>
      </c>
      <c r="C43" s="3">
        <f>C42*0.453592</f>
      </c>
      <c r="D43" s="3">
        <f>D42*0.453592</f>
      </c>
      <c r="E43" s="3">
        <f>E42*0.453592</f>
      </c>
      <c r="F43" s="3">
        <f>F42*0.453592</f>
      </c>
    </row>
    <row r="44">
      <c r="A44" s="0" t="inlineStr">
        <is>
          <t xml:space="preserve">BSFC (conferência)</t>
        </is>
      </c>
      <c r="B44" s="0" t="inlineStr">
        <is>
          <t xml:space="preserve">lb/hp·h</t>
        </is>
      </c>
      <c r="C44" s="3">
        <f>C42/C39</f>
      </c>
      <c r="D44" s="3">
        <f>D42/D39</f>
      </c>
      <c r="E44" s="3">
        <f>E42/E39</f>
      </c>
      <c r="F44" s="3">
        <f>F42/F39</f>
      </c>
    </row>
    <row r="45">
      <c r="A45" s="0" t="inlineStr">
        <is>
          <t xml:space="preserve">Cilindrada</t>
        </is>
      </c>
      <c r="B45" s="0" t="inlineStr">
        <is>
          <t xml:space="preserve">cc</t>
        </is>
      </c>
      <c r="C45" s="3">
        <f>IF(ISNUMBER(C15),C15/61.0237*1000,PI()/4*C13^2*C14*C12/1000)</f>
      </c>
      <c r="D45" s="3">
        <f>IF(ISNUMBER(D15),D15/61.0237*1000,PI()/4*D13^2*D14*D12/1000)</f>
      </c>
      <c r="E45" s="3">
        <f>IF(ISNUMBER(E15),E15/61.0237*1000,PI()/4*E13^2*E14*E12/1000)</f>
      </c>
      <c r="F45" s="3">
        <f>IF(ISNUMBER(F15),F15/61.0237*1000,PI()/4*F13^2*F14*F12/1000)</f>
      </c>
    </row>
    <row r="46">
      <c r="A46" s="0" t="inlineStr">
        <is>
          <t xml:space="preserve">Cilindrada</t>
        </is>
      </c>
      <c r="B46" s="0" t="inlineStr">
        <is>
          <t xml:space="preserve">pol³</t>
        </is>
      </c>
      <c r="C46" s="3">
        <f>C45/1000*61.0237</f>
      </c>
      <c r="D46" s="3">
        <f>D45/1000*61.0237</f>
      </c>
      <c r="E46" s="3">
        <f>E45/1000*61.0237</f>
      </c>
      <c r="F46" s="3">
        <f>F45/1000*61.0237</f>
      </c>
    </row>
    <row r="47">
      <c r="A47" s="0" t="inlineStr">
        <is>
          <t xml:space="preserve">P_atm</t>
        </is>
      </c>
      <c r="B47" s="0" t="inlineStr">
        <is>
          <t xml:space="preserve">kPa</t>
        </is>
      </c>
      <c r="C47" s="3">
        <f>101.325*(1-2.25577E-5*C21)^5.25588</f>
      </c>
      <c r="D47" s="3">
        <f>101.325*(1-2.25577E-5*D21)^5.25588</f>
      </c>
      <c r="E47" s="3">
        <f>101.325*(1-2.25577E-5*E21)^5.25588</f>
      </c>
      <c r="F47" s="3">
        <f>101.325*(1-2.25577E-5*F21)^5.25588</f>
      </c>
    </row>
    <row r="48">
      <c r="A48" s="0" t="inlineStr">
        <is>
          <t xml:space="preserve">P_atm</t>
        </is>
      </c>
      <c r="B48" s="0" t="inlineStr">
        <is>
          <t xml:space="preserve">psia</t>
        </is>
      </c>
      <c r="C48" s="3">
        <f>C47/6.894757</f>
      </c>
      <c r="D48" s="3">
        <f>D47/6.894757</f>
      </c>
      <c r="E48" s="3">
        <f>E47/6.894757</f>
      </c>
      <c r="F48" s="3">
        <f>F47/6.894757</f>
      </c>
    </row>
    <row r="49">
      <c r="A49" s="0" t="inlineStr">
        <is>
          <t xml:space="preserve">Tm inicial da iteração</t>
        </is>
      </c>
      <c r="B49" s="0" t="inlineStr">
        <is>
          <t xml:space="preserve">°C</t>
        </is>
      </c>
      <c r="C49" s="3">
        <f>IF(C18="FIXO",C19,IF(C18="NAO",C20+C26,50))</f>
      </c>
      <c r="D49" s="3">
        <f>IF(D18="FIXO",D19,IF(D18="NAO",D20+D26,50))</f>
      </c>
      <c r="E49" s="3">
        <f>IF(E18="FIXO",E19,IF(E18="NAO",E20+E26,50))</f>
      </c>
      <c r="F49" s="3">
        <f>IF(F18="FIXO",F19,IF(F18="NAO",F20+F26,50))</f>
      </c>
    </row>
    <row r="50">
      <c r="A50" s="0" t="inlineStr">
        <is>
          <t xml:space="preserve">Tm final</t>
        </is>
      </c>
      <c r="B50" s="0" t="inlineStr">
        <is>
          <t xml:space="preserve">°C</t>
        </is>
      </c>
      <c r="C50" s="3">
        <f>Iteracao!B18</f>
      </c>
      <c r="D50" s="3">
        <f>Iteracao!F18</f>
      </c>
      <c r="E50" s="3">
        <f>Iteracao!J18</f>
      </c>
      <c r="F50" s="3">
        <f>Iteracao!N18</f>
      </c>
      <c r="G50" s="9" t="inlineStr">
        <is>
          <t xml:space="preserve">15 passos; ver aba Iteracao</t>
        </is>
      </c>
    </row>
    <row r="51">
      <c r="A51" s="0" t="inlineStr">
        <is>
          <t xml:space="preserve">Convergiu (|ΔTm| &lt; 0,01 °C)</t>
        </is>
      </c>
      <c r="B51" s="0" t="inlineStr">
        <is>
          <t xml:space="preserve">-</t>
        </is>
      </c>
      <c r="C51" s="3">
        <f>IF(ABS(Iteracao!B18-Iteracao!B17)&lt;0.01,"SIM","NÃO")</f>
      </c>
      <c r="D51" s="3">
        <f>IF(ABS(Iteracao!F18-Iteracao!F17)&lt;0.01,"SIM","NÃO")</f>
      </c>
      <c r="E51" s="3">
        <f>IF(ABS(Iteracao!J18-Iteracao!J17)&lt;0.01,"SIM","NÃO")</f>
      </c>
      <c r="F51" s="3">
        <f>IF(ABS(Iteracao!N18-Iteracao!N17)&lt;0.01,"SIM","NÃO")</f>
      </c>
    </row>
    <row r="52">
      <c r="A52" s="0" t="inlineStr">
        <is>
          <t xml:space="preserve">MAP necessário</t>
        </is>
      </c>
      <c r="B52" s="0" t="inlineStr">
        <is>
          <t xml:space="preserve">psia</t>
        </is>
      </c>
      <c r="C52" s="3">
        <f>Iteracao!C18</f>
      </c>
      <c r="D52" s="3">
        <f>Iteracao!G18</f>
      </c>
      <c r="E52" s="3">
        <f>Iteracao!K18</f>
      </c>
      <c r="F52" s="3">
        <f>Iteracao!O18</f>
      </c>
    </row>
    <row r="53">
      <c r="A53" s="0" t="inlineStr">
        <is>
          <t xml:space="preserve">MAP necessário</t>
        </is>
      </c>
      <c r="B53" s="0" t="inlineStr">
        <is>
          <t xml:space="preserve">kPa</t>
        </is>
      </c>
      <c r="C53" s="3">
        <f>C52*6.894757</f>
      </c>
      <c r="D53" s="3">
        <f>D52*6.894757</f>
      </c>
      <c r="E53" s="3">
        <f>E52*6.894757</f>
      </c>
      <c r="F53" s="3">
        <f>F52*6.894757</f>
      </c>
    </row>
    <row r="54">
      <c r="A54" s="0" t="inlineStr">
        <is>
          <t xml:space="preserve">Razão de pressão PR</t>
        </is>
      </c>
      <c r="B54" s="0" t="inlineStr">
        <is>
          <t xml:space="preserve">-</t>
        </is>
      </c>
      <c r="C54" s="3">
        <f>IF(C18="NAO","",Iteracao!D18)</f>
      </c>
      <c r="D54" s="3">
        <f>IF(D18="NAO","",Iteracao!H18)</f>
      </c>
      <c r="E54" s="3">
        <f>IF(E18="NAO","",Iteracao!L18)</f>
      </c>
      <c r="F54" s="3">
        <f>IF(F18="NAO","",Iteracao!P18)</f>
      </c>
    </row>
    <row r="55">
      <c r="A55" s="0" t="inlineStr">
        <is>
          <t xml:space="preserve">T2 (saída do compressor)</t>
        </is>
      </c>
      <c r="B55" s="0" t="inlineStr">
        <is>
          <t xml:space="preserve">°C</t>
        </is>
      </c>
      <c r="C55" s="3">
        <f>IF(C18="SIM",Iteracao!E18,"")</f>
      </c>
      <c r="D55" s="3">
        <f>IF(D18="SIM",Iteracao!I18,"")</f>
      </c>
      <c r="E55" s="3">
        <f>IF(E18="SIM",Iteracao!M18,"")</f>
      </c>
      <c r="F55" s="3">
        <f>IF(F18="SIM",Iteracao!Q18,"")</f>
      </c>
    </row>
    <row r="56">
      <c r="A56" s="0" t="inlineStr">
        <is>
          <t xml:space="preserve">MAP ÷ P_atm local</t>
        </is>
      </c>
      <c r="B56" s="0" t="inlineStr">
        <is>
          <t xml:space="preserve">-</t>
        </is>
      </c>
      <c r="C56" s="3">
        <f>C53/C47</f>
      </c>
      <c r="D56" s="3">
        <f>D53/D47</f>
      </c>
      <c r="E56" s="3">
        <f>E53/E47</f>
      </c>
      <c r="F56" s="3">
        <f>F53/F47</f>
      </c>
    </row>
    <row r="57">
      <c r="A57" s="0" t="inlineStr">
        <is>
          <t xml:space="preserve">Vazão por bico (massa)</t>
        </is>
      </c>
      <c r="B57" s="0" t="inlineStr">
        <is>
          <t xml:space="preserve">g/min</t>
        </is>
      </c>
      <c r="C57" s="3">
        <f>IFERROR(C43*1000/60/(C12*C27),"")</f>
      </c>
      <c r="D57" s="3">
        <f>IFERROR(D43*1000/60/(D12*D27),"")</f>
      </c>
      <c r="E57" s="3">
        <f>IFERROR(E43*1000/60/(E12*E27),"")</f>
      </c>
      <c r="F57" s="3">
        <f>IFERROR(F43*1000/60/(F12*F27),"")</f>
      </c>
    </row>
    <row r="58">
      <c r="A58" s="0" t="inlineStr">
        <is>
          <t xml:space="preserve">Vazão por bico (combustível)</t>
        </is>
      </c>
      <c r="B58" s="0" t="inlineStr">
        <is>
          <t xml:space="preserve">cc/min</t>
        </is>
      </c>
      <c r="C58" s="3">
        <f>IFERROR(C57/C28,"")</f>
      </c>
      <c r="D58" s="3">
        <f>IFERROR(D57/D28,"")</f>
      </c>
      <c r="E58" s="3">
        <f>IFERROR(E57/E28,"")</f>
      </c>
      <c r="F58" s="3">
        <f>IFERROR(F57/F28,"")</f>
      </c>
    </row>
    <row r="59">
      <c r="A59" s="0" t="inlineStr">
        <is>
          <t xml:space="preserve">Vazão nominal (fluido de teste)</t>
        </is>
      </c>
      <c r="B59" s="0" t="inlineStr">
        <is>
          <t xml:space="preserve">cc/min</t>
        </is>
      </c>
      <c r="C59" s="3">
        <f>IFERROR(C58*SQRT(C28/C29),"")</f>
      </c>
      <c r="D59" s="3">
        <f>IFERROR(D58*SQRT(D28/D29),"")</f>
      </c>
      <c r="E59" s="3">
        <f>IFERROR(E58*SQRT(E28/E29),"")</f>
      </c>
      <c r="F59" s="3">
        <f>IFERROR(F58*SQRT(F28/F29),"")</f>
      </c>
    </row>
    <row r="60">
      <c r="A60" s="0" t="inlineStr">
        <is>
          <t xml:space="preserve">Volume por cilindro</t>
        </is>
      </c>
      <c r="B60" s="0" t="inlineStr">
        <is>
          <t xml:space="preserve">L</t>
        </is>
      </c>
      <c r="C60" s="3">
        <f>IFERROR(C45/1000/C12,"")</f>
      </c>
      <c r="D60" s="3">
        <f>IFERROR(D45/1000/D12,"")</f>
      </c>
      <c r="E60" s="3">
        <f>IFERROR(E45/1000/E12,"")</f>
      </c>
      <c r="F60" s="3">
        <f>IFERROR(F45/1000/F12,"")</f>
      </c>
    </row>
    <row r="61">
      <c r="A61" s="0" t="inlineStr">
        <is>
          <t xml:space="preserve">Ar por cilindro m_ar_cil</t>
        </is>
      </c>
      <c r="B61" s="0" t="inlineStr">
        <is>
          <t xml:space="preserve">g</t>
        </is>
      </c>
      <c r="C61" s="3">
        <f>IFERROR(C17*C53*1000*C60/1000/(287.05*(C50+273.15))*1000,"")</f>
      </c>
      <c r="D61" s="3">
        <f>IFERROR(D17*D53*1000*D60/1000/(287.05*(D50+273.15))*1000,"")</f>
      </c>
      <c r="E61" s="3">
        <f>IFERROR(E17*E53*1000*E60/1000/(287.05*(E50+273.15))*1000,"")</f>
      </c>
      <c r="F61" s="3">
        <f>IFERROR(F17*F53*1000*F60/1000/(287.05*(F50+273.15))*1000,"")</f>
      </c>
    </row>
    <row r="62">
      <c r="A62" s="0" t="inlineStr">
        <is>
          <t xml:space="preserve">Combustível por injeção m_f_inj</t>
        </is>
      </c>
      <c r="B62" s="0" t="inlineStr">
        <is>
          <t xml:space="preserve">mg</t>
        </is>
      </c>
      <c r="C62" s="3">
        <f>IFERROR(C61/(C10*C11)*1000,"")</f>
      </c>
      <c r="D62" s="3">
        <f>IFERROR(D61/(D10*D11)*1000,"")</f>
      </c>
      <c r="E62" s="3">
        <f>IFERROR(E61/(E10*E11)*1000,"")</f>
      </c>
      <c r="F62" s="3">
        <f>IFERROR(F61/(F10*F11)*1000,"")</f>
      </c>
      <c r="G62" s="9" t="inlineStr">
        <is>
          <t xml:space="preserve">Sequencial: 1 injeção por ciclo</t>
        </is>
      </c>
    </row>
    <row r="63">
      <c r="A63" s="0" t="inlineStr">
        <is>
          <t xml:space="preserve">Vazão real do bico</t>
        </is>
      </c>
      <c r="B63" s="0" t="inlineStr">
        <is>
          <t xml:space="preserve">cc/min</t>
        </is>
      </c>
      <c r="C63" s="3">
        <f>IFERROR(C30*SQRT(C32/C31)*SQRT(C29/C28),"")</f>
      </c>
      <c r="D63" s="3">
        <f>IFERROR(D30*SQRT(D32/D31)*SQRT(D29/D28),"")</f>
      </c>
      <c r="E63" s="3">
        <f>IFERROR(E30*SQRT(E32/E31)*SQRT(E29/E28),"")</f>
      </c>
      <c r="F63" s="3">
        <f>IFERROR(F30*SQRT(F32/F31)*SQRT(F29/F28),"")</f>
      </c>
      <c r="G63" s="9" t="inlineStr">
        <is>
          <t xml:space="preserve">Corrige pressão e densidade</t>
        </is>
      </c>
    </row>
    <row r="64">
      <c r="A64" s="0" t="inlineStr">
        <is>
          <t xml:space="preserve">TI efetivo</t>
        </is>
      </c>
      <c r="B64" s="0" t="inlineStr">
        <is>
          <t xml:space="preserve">ms</t>
        </is>
      </c>
      <c r="C64" s="3">
        <f>IFERROR(C62/1000000/(C63*C28/60000)*1000,"")</f>
      </c>
      <c r="D64" s="3">
        <f>IFERROR(D62/1000000/(D63*D28/60000)*1000,"")</f>
      </c>
      <c r="E64" s="3">
        <f>IFERROR(E62/1000000/(E63*E28/60000)*1000,"")</f>
      </c>
      <c r="F64" s="3">
        <f>IFERROR(F62/1000000/(F63*F28/60000)*1000,"")</f>
      </c>
    </row>
    <row r="65">
      <c r="A65" s="0" t="inlineStr">
        <is>
          <t xml:space="preserve">TI com tempo morto</t>
        </is>
      </c>
      <c r="B65" s="0" t="inlineStr">
        <is>
          <t xml:space="preserve">ms</t>
        </is>
      </c>
      <c r="C65" s="3">
        <f>IFERROR(C64+C33,"")</f>
      </c>
      <c r="D65" s="3">
        <f>IFERROR(D64+D33,"")</f>
      </c>
      <c r="E65" s="3">
        <f>IFERROR(E64+E33,"")</f>
      </c>
      <c r="F65" s="3">
        <f>IFERROR(F64+F33,"")</f>
      </c>
    </row>
    <row r="66">
      <c r="A66" s="0" t="inlineStr">
        <is>
          <t xml:space="preserve">Ciclo (120000 / rpm)</t>
        </is>
      </c>
      <c r="B66" s="0" t="inlineStr">
        <is>
          <t xml:space="preserve">ms</t>
        </is>
      </c>
      <c r="C66" s="3">
        <f>120000/C16</f>
      </c>
      <c r="D66" s="3">
        <f>120000/D16</f>
      </c>
      <c r="E66" s="3">
        <f>120000/E16</f>
      </c>
      <c r="F66" s="3">
        <f>120000/F16</f>
      </c>
    </row>
    <row r="67">
      <c r="A67" s="0" t="inlineStr">
        <is>
          <t xml:space="preserve">DC do bico</t>
        </is>
      </c>
      <c r="B67" s="0" t="inlineStr">
        <is>
          <t xml:space="preserve">%</t>
        </is>
      </c>
      <c r="C67" s="5">
        <f>IFERROR(C65/C66,"")</f>
      </c>
      <c r="D67" s="5">
        <f>IFERROR(D65/D66,"")</f>
      </c>
      <c r="E67" s="5">
        <f>IFERROR(E65/E66,"")</f>
      </c>
      <c r="F67" s="5">
        <f>IFERROR(F65/F66,"")</f>
      </c>
    </row>
    <row r="68">
      <c r="A68" s="0" t="inlineStr">
        <is>
          <t xml:space="preserve">DC com bico alternativo 1</t>
        </is>
      </c>
      <c r="B68" s="0" t="inlineStr">
        <is>
          <t xml:space="preserve">%</t>
        </is>
      </c>
      <c r="C68" s="5">
        <f>IFERROR((C62/1000000/(C34*SQRT(C35/C31)*SQRT(C29/C28)*C28/60000)*1000+C33)/C66,"")</f>
      </c>
      <c r="D68" s="5">
        <f>IFERROR((D62/1000000/(D34*SQRT(D35/D31)*SQRT(D29/D28)*D28/60000)*1000+D33)/D66,"")</f>
      </c>
      <c r="E68" s="5">
        <f>IFERROR((E62/1000000/(E34*SQRT(E35/E31)*SQRT(E29/E28)*E28/60000)*1000+E33)/E66,"")</f>
      </c>
      <c r="F68" s="5">
        <f>IFERROR((F62/1000000/(F34*SQRT(F35/F31)*SQRT(F29/F28)*F28/60000)*1000+F33)/F66,"")</f>
      </c>
    </row>
    <row r="69">
      <c r="A69" s="0" t="inlineStr">
        <is>
          <t xml:space="preserve">DC com bico alternativo 2</t>
        </is>
      </c>
      <c r="B69" s="0" t="inlineStr">
        <is>
          <t xml:space="preserve">%</t>
        </is>
      </c>
      <c r="C69" s="5">
        <f>IFERROR((C62/1000000/(C36*SQRT(C37/C31)*SQRT(C29/C28)*C28/60000)*1000+C33)/C66,"")</f>
      </c>
      <c r="D69" s="5">
        <f>IFERROR((D62/1000000/(D36*SQRT(D37/D31)*SQRT(D29/D28)*D28/60000)*1000+D33)/D66,"")</f>
      </c>
      <c r="E69" s="5">
        <f>IFERROR((E62/1000000/(E36*SQRT(E37/E31)*SQRT(E29/E28)*E28/60000)*1000+E33)/E66,"")</f>
      </c>
      <c r="F69" s="5">
        <f>IFERROR((F62/1000000/(F36*SQRT(F37/F31)*SQRT(F29/F28)*F28/60000)*1000+F33)/F66,"")</f>
      </c>
    </row>
    <row r="70">
      <c r="A70" s="0" t="inlineStr">
        <is>
          <t xml:space="preserve">BMEP</t>
        </is>
      </c>
      <c r="B70" s="0" t="inlineStr">
        <is>
          <t xml:space="preserve">bar</t>
        </is>
      </c>
      <c r="C70" s="3">
        <f>1200*C40/(C45/1000*C16)</f>
      </c>
      <c r="D70" s="3">
        <f>1200*D40/(D45/1000*D16)</f>
      </c>
      <c r="E70" s="3">
        <f>1200*E40/(E45/1000*E16)</f>
      </c>
      <c r="F70" s="3">
        <f>1200*F40/(F45/1000*F16)</f>
      </c>
    </row>
    <row r="71">
      <c r="A71" s="0" t="inlineStr">
        <is>
          <t xml:space="preserve">Torque</t>
        </is>
      </c>
      <c r="B71" s="0" t="inlineStr">
        <is>
          <t xml:space="preserve">N·m</t>
        </is>
      </c>
      <c r="C71" s="3">
        <f>9549*C40/C16</f>
      </c>
      <c r="D71" s="3">
        <f>9549*D40/D16</f>
      </c>
      <c r="E71" s="3">
        <f>9549*E40/E16</f>
      </c>
      <c r="F71" s="3">
        <f>9549*F40/F16</f>
      </c>
    </row>
    <row r="72">
      <c r="A72" s="0" t="inlineStr">
        <is>
          <t xml:space="preserve">Velocidade média do pistão</t>
        </is>
      </c>
      <c r="B72" s="0" t="inlineStr">
        <is>
          <t xml:space="preserve">m/s</t>
        </is>
      </c>
      <c r="C72" s="3">
        <f>IFERROR(2*C14/1000*C16/60,"")</f>
      </c>
      <c r="D72" s="3">
        <f>IFERROR(2*D14/1000*D16/60,"")</f>
      </c>
      <c r="E72" s="3">
        <f>IFERROR(2*E14/1000*E16/60,"")</f>
      </c>
      <c r="F72" s="3">
        <f>IFERROR(2*F14/1000*F16/60,"")</f>
      </c>
    </row>
    <row r="73">
      <c r="A73" s="7" t="inlineStr">
        <is>
          <t xml:space="preserve">SEMÁFORO (SPEC 7.4)</t>
        </is>
      </c>
    </row>
    <row r="74">
      <c r="A74" s="0" t="inlineStr">
        <is>
          <t xml:space="preserve">DC do bico</t>
        </is>
      </c>
      <c r="B74" s="0" t="inlineStr">
        <is>
          <t xml:space="preserve">-</t>
        </is>
      </c>
      <c r="C74" s="0">
        <f>IF(ISNUMBER(C67),IF(C67&lt;=0.8,"VERDE",IF(C67&lt;=0.85,"AMARELO","VERMELHO")),"")</f>
      </c>
      <c r="D74" s="0">
        <f>IF(ISNUMBER(D67),IF(D67&lt;=0.8,"VERDE",IF(D67&lt;=0.85,"AMARELO","VERMELHO")),"")</f>
      </c>
      <c r="E74" s="0">
        <f>IF(ISNUMBER(E67),IF(E67&lt;=0.8,"VERDE",IF(E67&lt;=0.85,"AMARELO","VERMELHO")),"")</f>
      </c>
      <c r="F74" s="0">
        <f>IF(ISNUMBER(F67),IF(F67&lt;=0.8,"VERDE",IF(F67&lt;=0.85,"AMARELO","VERMELHO")),"")</f>
      </c>
    </row>
    <row r="75">
      <c r="A75" s="0" t="inlineStr">
        <is>
          <t xml:space="preserve">BMEP</t>
        </is>
      </c>
      <c r="B75" s="0" t="inlineStr">
        <is>
          <t xml:space="preserve">-</t>
        </is>
      </c>
      <c r="C75" s="0">
        <f>IF(C18="FIXO","",IF(C70&lt;=IF(C18="NAO",13,22),"VERDE",IF(C70&lt;=IF(C18="NAO",13,22)*1.15,"AMARELO","VERMELHO")))</f>
      </c>
      <c r="D75" s="0">
        <f>IF(D18="FIXO","",IF(D70&lt;=IF(D18="NAO",13,22),"VERDE",IF(D70&lt;=IF(D18="NAO",13,22)*1.15,"AMARELO","VERMELHO")))</f>
      </c>
      <c r="E75" s="0">
        <f>IF(E18="FIXO","",IF(E70&lt;=IF(E18="NAO",13,22),"VERDE",IF(E70&lt;=IF(E18="NAO",13,22)*1.15,"AMARELO","VERMELHO")))</f>
      </c>
      <c r="F75" s="0">
        <f>IF(F18="FIXO","",IF(F70&lt;=IF(F18="NAO",13,22),"VERDE",IF(F70&lt;=IF(F18="NAO",13,22)*1.15,"AMARELO","VERMELHO")))</f>
      </c>
      <c r="G75" s="9" t="inlineStr">
        <is>
          <t xml:space="preserve">Vermelho só com pistões ou bielas originais</t>
        </is>
      </c>
    </row>
    <row r="76">
      <c r="A76" s="0" t="inlineStr">
        <is>
          <t xml:space="preserve">Velocidade do pistão</t>
        </is>
      </c>
      <c r="B76" s="0" t="inlineStr">
        <is>
          <t xml:space="preserve">-</t>
        </is>
      </c>
      <c r="C76" s="0">
        <f>IF(ISNUMBER(C72),IF(C72&lt;=20,"VERDE",IF(C72&lt;=25,"AMARELO","VERMELHO")),"")</f>
      </c>
      <c r="D76" s="0">
        <f>IF(ISNUMBER(D72),IF(D72&lt;=20,"VERDE",IF(D72&lt;=25,"AMARELO","VERMELHO")),"")</f>
      </c>
      <c r="E76" s="0">
        <f>IF(ISNUMBER(E72),IF(E72&lt;=20,"VERDE",IF(E72&lt;=25,"AMARELO","VERMELHO")),"")</f>
      </c>
      <c r="F76" s="0">
        <f>IF(ISNUMBER(F72),IF(F72&lt;=20,"VERDE",IF(F72&lt;=25,"AMARELO","VERMELHO")),"")</f>
      </c>
    </row>
    <row r="77">
      <c r="A77" s="0" t="inlineStr">
        <is>
          <t xml:space="preserve">Aspirado: MAP ÷ P_atm local</t>
        </is>
      </c>
      <c r="B77" s="0" t="inlineStr">
        <is>
          <t xml:space="preserve">-</t>
        </is>
      </c>
      <c r="C77" s="0">
        <f>IF(C18="NAO",IF(C56&lt;=0.9,"VERDE",IF(C56&lt;=0.98,"AMARELO","VERMELHO")),"")</f>
      </c>
      <c r="D77" s="0">
        <f>IF(D18="NAO",IF(D56&lt;=0.9,"VERDE",IF(D56&lt;=0.98,"AMARELO","VERMELHO")),"")</f>
      </c>
      <c r="E77" s="0">
        <f>IF(E18="NAO",IF(E56&lt;=0.9,"VERDE",IF(E56&lt;=0.98,"AMARELO","VERMELHO")),"")</f>
      </c>
      <c r="F77" s="0">
        <f>IF(F18="NAO",IF(F56&lt;=0.9,"VERDE",IF(F56&lt;=0.98,"AMARELO","VERMELHO")),"")</f>
      </c>
    </row>
    <row r="78">
      <c r="A78" s="0" t="inlineStr">
        <is>
          <t xml:space="preserve">Aspirado: MAP ÷ P_atm ao nível do mar</t>
        </is>
      </c>
      <c r="B78" s="0" t="inlineStr">
        <is>
          <t xml:space="preserve">-</t>
        </is>
      </c>
      <c r="C78" s="3">
        <f>IF(C18="NAO",C53/101.325,"")</f>
      </c>
      <c r="D78" s="3">
        <f>IF(D18="NAO",D53/101.325,"")</f>
      </c>
      <c r="E78" s="3">
        <f>IF(E18="NAO",E53/101.325,"")</f>
      </c>
      <c r="F78" s="3">
        <f>IF(F18="NAO",F53/101.325,"")</f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5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</cols>
  <sheetData>
    <row r="1">
      <c r="A1" s="6" t="inlineStr">
        <is>
          <t xml:space="preserve">Iteração MAP - Tm (SPEC 7.1)</t>
        </is>
      </c>
    </row>
    <row r="2">
      <c r="A2" s="9" t="inlineStr">
        <is>
          <t xml:space="preserve">Começa em Tm = 50 °C (sobrealimentado). Para FIXO e NAO, Tm não muda. Critério: |ΔTm| &lt; 0,01 °C.</t>
        </is>
      </c>
    </row>
    <row r="3">
      <c r="A3" s="1" t="inlineStr">
        <is>
          <t xml:space="preserve">k</t>
        </is>
      </c>
      <c r="B3" s="1" t="inlineStr">
        <is>
          <t xml:space="preserve">Tm °C (A)</t>
        </is>
      </c>
      <c r="C3" s="1" t="inlineStr">
        <is>
          <t xml:space="preserve">MAP psia (A)</t>
        </is>
      </c>
      <c r="D3" s="1" t="inlineStr">
        <is>
          <t xml:space="preserve">PR (A)</t>
        </is>
      </c>
      <c r="E3" s="1" t="inlineStr">
        <is>
          <t xml:space="preserve">T2 °C (A)</t>
        </is>
      </c>
      <c r="F3" s="1" t="inlineStr">
        <is>
          <t xml:space="preserve">Tm °C (B)</t>
        </is>
      </c>
      <c r="G3" s="1" t="inlineStr">
        <is>
          <t xml:space="preserve">MAP psia (B)</t>
        </is>
      </c>
      <c r="H3" s="1" t="inlineStr">
        <is>
          <t xml:space="preserve">PR (B)</t>
        </is>
      </c>
      <c r="I3" s="1" t="inlineStr">
        <is>
          <t xml:space="preserve">T2 °C (B)</t>
        </is>
      </c>
      <c r="J3" s="1" t="inlineStr">
        <is>
          <t xml:space="preserve">Tm °C (C)</t>
        </is>
      </c>
      <c r="K3" s="1" t="inlineStr">
        <is>
          <t xml:space="preserve">MAP psia (C)</t>
        </is>
      </c>
      <c r="L3" s="1" t="inlineStr">
        <is>
          <t xml:space="preserve">PR (C)</t>
        </is>
      </c>
      <c r="M3" s="1" t="inlineStr">
        <is>
          <t xml:space="preserve">T2 °C (C)</t>
        </is>
      </c>
      <c r="N3" s="1" t="inlineStr">
        <is>
          <t xml:space="preserve">Tm °C (D)</t>
        </is>
      </c>
      <c r="O3" s="1" t="inlineStr">
        <is>
          <t xml:space="preserve">MAP psia (D)</t>
        </is>
      </c>
      <c r="P3" s="1" t="inlineStr">
        <is>
          <t xml:space="preserve">PR (D)</t>
        </is>
      </c>
      <c r="Q3" s="1" t="inlineStr">
        <is>
          <t xml:space="preserve">T2 °C (D)</t>
        </is>
      </c>
    </row>
    <row r="4">
      <c r="A4" s="0">
        <v>0</v>
      </c>
      <c r="B4" s="3">
        <f>Cadeia!C49</f>
      </c>
      <c r="C4" s="3">
        <f>Cadeia!C41*639.6*(460+(B4*9/5+32))/(Cadeia!C17*Cadeia!C16/2*Cadeia!C46)</f>
      </c>
      <c r="D4" s="3">
        <f>(C4+Cadeia!C22)/(Cadeia!C48-Cadeia!C23)</f>
      </c>
      <c r="E4" s="3">
        <f>IF(Cadeia!C18="SIM",(Cadeia!C20+273.15)*(1+(D4^0.2857-1)/Cadeia!C24)-273.15,"")</f>
      </c>
      <c r="F4" s="3">
        <f>Cadeia!D49</f>
      </c>
      <c r="G4" s="3">
        <f>Cadeia!D41*639.6*(460+(F4*9/5+32))/(Cadeia!D17*Cadeia!D16/2*Cadeia!D46)</f>
      </c>
      <c r="H4" s="3">
        <f>(G4+Cadeia!D22)/(Cadeia!D48-Cadeia!D23)</f>
      </c>
      <c r="I4" s="3">
        <f>IF(Cadeia!D18="SIM",(Cadeia!D20+273.15)*(1+(H4^0.2857-1)/Cadeia!D24)-273.15,"")</f>
      </c>
      <c r="J4" s="3">
        <f>Cadeia!E49</f>
      </c>
      <c r="K4" s="3">
        <f>Cadeia!E41*639.6*(460+(J4*9/5+32))/(Cadeia!E17*Cadeia!E16/2*Cadeia!E46)</f>
      </c>
      <c r="L4" s="3">
        <f>(K4+Cadeia!E22)/(Cadeia!E48-Cadeia!E23)</f>
      </c>
      <c r="M4" s="3">
        <f>IF(Cadeia!E18="SIM",(Cadeia!E20+273.15)*(1+(L4^0.2857-1)/Cadeia!E24)-273.15,"")</f>
      </c>
      <c r="N4" s="3">
        <f>Cadeia!F49</f>
      </c>
      <c r="O4" s="3">
        <f>Cadeia!F41*639.6*(460+(N4*9/5+32))/(Cadeia!F17*Cadeia!F16/2*Cadeia!F46)</f>
      </c>
      <c r="P4" s="3">
        <f>(O4+Cadeia!F22)/(Cadeia!F48-Cadeia!F23)</f>
      </c>
      <c r="Q4" s="3">
        <f>IF(Cadeia!F18="SIM",(Cadeia!F20+273.15)*(1+(P4^0.2857-1)/Cadeia!F24)-273.15,"")</f>
      </c>
    </row>
    <row r="5">
      <c r="A5" s="0">
        <v>1</v>
      </c>
      <c r="B5" s="3">
        <f>IF(Cadeia!C18="SIM",E4-Cadeia!C25*(E4-Cadeia!C20),B4)</f>
      </c>
      <c r="C5" s="3">
        <f>Cadeia!C41*639.6*(460+(B5*9/5+32))/(Cadeia!C17*Cadeia!C16/2*Cadeia!C46)</f>
      </c>
      <c r="D5" s="3">
        <f>(C5+Cadeia!C22)/(Cadeia!C48-Cadeia!C23)</f>
      </c>
      <c r="E5" s="3">
        <f>IF(Cadeia!C18="SIM",(Cadeia!C20+273.15)*(1+(D5^0.2857-1)/Cadeia!C24)-273.15,"")</f>
      </c>
      <c r="F5" s="3">
        <f>IF(Cadeia!D18="SIM",I4-Cadeia!D25*(I4-Cadeia!D20),F4)</f>
      </c>
      <c r="G5" s="3">
        <f>Cadeia!D41*639.6*(460+(F5*9/5+32))/(Cadeia!D17*Cadeia!D16/2*Cadeia!D46)</f>
      </c>
      <c r="H5" s="3">
        <f>(G5+Cadeia!D22)/(Cadeia!D48-Cadeia!D23)</f>
      </c>
      <c r="I5" s="3">
        <f>IF(Cadeia!D18="SIM",(Cadeia!D20+273.15)*(1+(H5^0.2857-1)/Cadeia!D24)-273.15,"")</f>
      </c>
      <c r="J5" s="3">
        <f>IF(Cadeia!E18="SIM",M4-Cadeia!E25*(M4-Cadeia!E20),J4)</f>
      </c>
      <c r="K5" s="3">
        <f>Cadeia!E41*639.6*(460+(J5*9/5+32))/(Cadeia!E17*Cadeia!E16/2*Cadeia!E46)</f>
      </c>
      <c r="L5" s="3">
        <f>(K5+Cadeia!E22)/(Cadeia!E48-Cadeia!E23)</f>
      </c>
      <c r="M5" s="3">
        <f>IF(Cadeia!E18="SIM",(Cadeia!E20+273.15)*(1+(L5^0.2857-1)/Cadeia!E24)-273.15,"")</f>
      </c>
      <c r="N5" s="3">
        <f>IF(Cadeia!F18="SIM",Q4-Cadeia!F25*(Q4-Cadeia!F20),N4)</f>
      </c>
      <c r="O5" s="3">
        <f>Cadeia!F41*639.6*(460+(N5*9/5+32))/(Cadeia!F17*Cadeia!F16/2*Cadeia!F46)</f>
      </c>
      <c r="P5" s="3">
        <f>(O5+Cadeia!F22)/(Cadeia!F48-Cadeia!F23)</f>
      </c>
      <c r="Q5" s="3">
        <f>IF(Cadeia!F18="SIM",(Cadeia!F20+273.15)*(1+(P5^0.2857-1)/Cadeia!F24)-273.15,"")</f>
      </c>
    </row>
    <row r="6">
      <c r="A6" s="0">
        <v>2</v>
      </c>
      <c r="B6" s="3">
        <f>IF(Cadeia!C18="SIM",E5-Cadeia!C25*(E5-Cadeia!C20),B5)</f>
      </c>
      <c r="C6" s="3">
        <f>Cadeia!C41*639.6*(460+(B6*9/5+32))/(Cadeia!C17*Cadeia!C16/2*Cadeia!C46)</f>
      </c>
      <c r="D6" s="3">
        <f>(C6+Cadeia!C22)/(Cadeia!C48-Cadeia!C23)</f>
      </c>
      <c r="E6" s="3">
        <f>IF(Cadeia!C18="SIM",(Cadeia!C20+273.15)*(1+(D6^0.2857-1)/Cadeia!C24)-273.15,"")</f>
      </c>
      <c r="F6" s="3">
        <f>IF(Cadeia!D18="SIM",I5-Cadeia!D25*(I5-Cadeia!D20),F5)</f>
      </c>
      <c r="G6" s="3">
        <f>Cadeia!D41*639.6*(460+(F6*9/5+32))/(Cadeia!D17*Cadeia!D16/2*Cadeia!D46)</f>
      </c>
      <c r="H6" s="3">
        <f>(G6+Cadeia!D22)/(Cadeia!D48-Cadeia!D23)</f>
      </c>
      <c r="I6" s="3">
        <f>IF(Cadeia!D18="SIM",(Cadeia!D20+273.15)*(1+(H6^0.2857-1)/Cadeia!D24)-273.15,"")</f>
      </c>
      <c r="J6" s="3">
        <f>IF(Cadeia!E18="SIM",M5-Cadeia!E25*(M5-Cadeia!E20),J5)</f>
      </c>
      <c r="K6" s="3">
        <f>Cadeia!E41*639.6*(460+(J6*9/5+32))/(Cadeia!E17*Cadeia!E16/2*Cadeia!E46)</f>
      </c>
      <c r="L6" s="3">
        <f>(K6+Cadeia!E22)/(Cadeia!E48-Cadeia!E23)</f>
      </c>
      <c r="M6" s="3">
        <f>IF(Cadeia!E18="SIM",(Cadeia!E20+273.15)*(1+(L6^0.2857-1)/Cadeia!E24)-273.15,"")</f>
      </c>
      <c r="N6" s="3">
        <f>IF(Cadeia!F18="SIM",Q5-Cadeia!F25*(Q5-Cadeia!F20),N5)</f>
      </c>
      <c r="O6" s="3">
        <f>Cadeia!F41*639.6*(460+(N6*9/5+32))/(Cadeia!F17*Cadeia!F16/2*Cadeia!F46)</f>
      </c>
      <c r="P6" s="3">
        <f>(O6+Cadeia!F22)/(Cadeia!F48-Cadeia!F23)</f>
      </c>
      <c r="Q6" s="3">
        <f>IF(Cadeia!F18="SIM",(Cadeia!F20+273.15)*(1+(P6^0.2857-1)/Cadeia!F24)-273.15,"")</f>
      </c>
    </row>
    <row r="7">
      <c r="A7" s="0">
        <v>3</v>
      </c>
      <c r="B7" s="3">
        <f>IF(Cadeia!C18="SIM",E6-Cadeia!C25*(E6-Cadeia!C20),B6)</f>
      </c>
      <c r="C7" s="3">
        <f>Cadeia!C41*639.6*(460+(B7*9/5+32))/(Cadeia!C17*Cadeia!C16/2*Cadeia!C46)</f>
      </c>
      <c r="D7" s="3">
        <f>(C7+Cadeia!C22)/(Cadeia!C48-Cadeia!C23)</f>
      </c>
      <c r="E7" s="3">
        <f>IF(Cadeia!C18="SIM",(Cadeia!C20+273.15)*(1+(D7^0.2857-1)/Cadeia!C24)-273.15,"")</f>
      </c>
      <c r="F7" s="3">
        <f>IF(Cadeia!D18="SIM",I6-Cadeia!D25*(I6-Cadeia!D20),F6)</f>
      </c>
      <c r="G7" s="3">
        <f>Cadeia!D41*639.6*(460+(F7*9/5+32))/(Cadeia!D17*Cadeia!D16/2*Cadeia!D46)</f>
      </c>
      <c r="H7" s="3">
        <f>(G7+Cadeia!D22)/(Cadeia!D48-Cadeia!D23)</f>
      </c>
      <c r="I7" s="3">
        <f>IF(Cadeia!D18="SIM",(Cadeia!D20+273.15)*(1+(H7^0.2857-1)/Cadeia!D24)-273.15,"")</f>
      </c>
      <c r="J7" s="3">
        <f>IF(Cadeia!E18="SIM",M6-Cadeia!E25*(M6-Cadeia!E20),J6)</f>
      </c>
      <c r="K7" s="3">
        <f>Cadeia!E41*639.6*(460+(J7*9/5+32))/(Cadeia!E17*Cadeia!E16/2*Cadeia!E46)</f>
      </c>
      <c r="L7" s="3">
        <f>(K7+Cadeia!E22)/(Cadeia!E48-Cadeia!E23)</f>
      </c>
      <c r="M7" s="3">
        <f>IF(Cadeia!E18="SIM",(Cadeia!E20+273.15)*(1+(L7^0.2857-1)/Cadeia!E24)-273.15,"")</f>
      </c>
      <c r="N7" s="3">
        <f>IF(Cadeia!F18="SIM",Q6-Cadeia!F25*(Q6-Cadeia!F20),N6)</f>
      </c>
      <c r="O7" s="3">
        <f>Cadeia!F41*639.6*(460+(N7*9/5+32))/(Cadeia!F17*Cadeia!F16/2*Cadeia!F46)</f>
      </c>
      <c r="P7" s="3">
        <f>(O7+Cadeia!F22)/(Cadeia!F48-Cadeia!F23)</f>
      </c>
      <c r="Q7" s="3">
        <f>IF(Cadeia!F18="SIM",(Cadeia!F20+273.15)*(1+(P7^0.2857-1)/Cadeia!F24)-273.15,"")</f>
      </c>
    </row>
    <row r="8">
      <c r="A8" s="0">
        <v>4</v>
      </c>
      <c r="B8" s="3">
        <f>IF(Cadeia!C18="SIM",E7-Cadeia!C25*(E7-Cadeia!C20),B7)</f>
      </c>
      <c r="C8" s="3">
        <f>Cadeia!C41*639.6*(460+(B8*9/5+32))/(Cadeia!C17*Cadeia!C16/2*Cadeia!C46)</f>
      </c>
      <c r="D8" s="3">
        <f>(C8+Cadeia!C22)/(Cadeia!C48-Cadeia!C23)</f>
      </c>
      <c r="E8" s="3">
        <f>IF(Cadeia!C18="SIM",(Cadeia!C20+273.15)*(1+(D8^0.2857-1)/Cadeia!C24)-273.15,"")</f>
      </c>
      <c r="F8" s="3">
        <f>IF(Cadeia!D18="SIM",I7-Cadeia!D25*(I7-Cadeia!D20),F7)</f>
      </c>
      <c r="G8" s="3">
        <f>Cadeia!D41*639.6*(460+(F8*9/5+32))/(Cadeia!D17*Cadeia!D16/2*Cadeia!D46)</f>
      </c>
      <c r="H8" s="3">
        <f>(G8+Cadeia!D22)/(Cadeia!D48-Cadeia!D23)</f>
      </c>
      <c r="I8" s="3">
        <f>IF(Cadeia!D18="SIM",(Cadeia!D20+273.15)*(1+(H8^0.2857-1)/Cadeia!D24)-273.15,"")</f>
      </c>
      <c r="J8" s="3">
        <f>IF(Cadeia!E18="SIM",M7-Cadeia!E25*(M7-Cadeia!E20),J7)</f>
      </c>
      <c r="K8" s="3">
        <f>Cadeia!E41*639.6*(460+(J8*9/5+32))/(Cadeia!E17*Cadeia!E16/2*Cadeia!E46)</f>
      </c>
      <c r="L8" s="3">
        <f>(K8+Cadeia!E22)/(Cadeia!E48-Cadeia!E23)</f>
      </c>
      <c r="M8" s="3">
        <f>IF(Cadeia!E18="SIM",(Cadeia!E20+273.15)*(1+(L8^0.2857-1)/Cadeia!E24)-273.15,"")</f>
      </c>
      <c r="N8" s="3">
        <f>IF(Cadeia!F18="SIM",Q7-Cadeia!F25*(Q7-Cadeia!F20),N7)</f>
      </c>
      <c r="O8" s="3">
        <f>Cadeia!F41*639.6*(460+(N8*9/5+32))/(Cadeia!F17*Cadeia!F16/2*Cadeia!F46)</f>
      </c>
      <c r="P8" s="3">
        <f>(O8+Cadeia!F22)/(Cadeia!F48-Cadeia!F23)</f>
      </c>
      <c r="Q8" s="3">
        <f>IF(Cadeia!F18="SIM",(Cadeia!F20+273.15)*(1+(P8^0.2857-1)/Cadeia!F24)-273.15,"")</f>
      </c>
    </row>
    <row r="9">
      <c r="A9" s="0">
        <v>5</v>
      </c>
      <c r="B9" s="3">
        <f>IF(Cadeia!C18="SIM",E8-Cadeia!C25*(E8-Cadeia!C20),B8)</f>
      </c>
      <c r="C9" s="3">
        <f>Cadeia!C41*639.6*(460+(B9*9/5+32))/(Cadeia!C17*Cadeia!C16/2*Cadeia!C46)</f>
      </c>
      <c r="D9" s="3">
        <f>(C9+Cadeia!C22)/(Cadeia!C48-Cadeia!C23)</f>
      </c>
      <c r="E9" s="3">
        <f>IF(Cadeia!C18="SIM",(Cadeia!C20+273.15)*(1+(D9^0.2857-1)/Cadeia!C24)-273.15,"")</f>
      </c>
      <c r="F9" s="3">
        <f>IF(Cadeia!D18="SIM",I8-Cadeia!D25*(I8-Cadeia!D20),F8)</f>
      </c>
      <c r="G9" s="3">
        <f>Cadeia!D41*639.6*(460+(F9*9/5+32))/(Cadeia!D17*Cadeia!D16/2*Cadeia!D46)</f>
      </c>
      <c r="H9" s="3">
        <f>(G9+Cadeia!D22)/(Cadeia!D48-Cadeia!D23)</f>
      </c>
      <c r="I9" s="3">
        <f>IF(Cadeia!D18="SIM",(Cadeia!D20+273.15)*(1+(H9^0.2857-1)/Cadeia!D24)-273.15,"")</f>
      </c>
      <c r="J9" s="3">
        <f>IF(Cadeia!E18="SIM",M8-Cadeia!E25*(M8-Cadeia!E20),J8)</f>
      </c>
      <c r="K9" s="3">
        <f>Cadeia!E41*639.6*(460+(J9*9/5+32))/(Cadeia!E17*Cadeia!E16/2*Cadeia!E46)</f>
      </c>
      <c r="L9" s="3">
        <f>(K9+Cadeia!E22)/(Cadeia!E48-Cadeia!E23)</f>
      </c>
      <c r="M9" s="3">
        <f>IF(Cadeia!E18="SIM",(Cadeia!E20+273.15)*(1+(L9^0.2857-1)/Cadeia!E24)-273.15,"")</f>
      </c>
      <c r="N9" s="3">
        <f>IF(Cadeia!F18="SIM",Q8-Cadeia!F25*(Q8-Cadeia!F20),N8)</f>
      </c>
      <c r="O9" s="3">
        <f>Cadeia!F41*639.6*(460+(N9*9/5+32))/(Cadeia!F17*Cadeia!F16/2*Cadeia!F46)</f>
      </c>
      <c r="P9" s="3">
        <f>(O9+Cadeia!F22)/(Cadeia!F48-Cadeia!F23)</f>
      </c>
      <c r="Q9" s="3">
        <f>IF(Cadeia!F18="SIM",(Cadeia!F20+273.15)*(1+(P9^0.2857-1)/Cadeia!F24)-273.15,"")</f>
      </c>
    </row>
    <row r="10">
      <c r="A10" s="0">
        <v>6</v>
      </c>
      <c r="B10" s="3">
        <f>IF(Cadeia!C18="SIM",E9-Cadeia!C25*(E9-Cadeia!C20),B9)</f>
      </c>
      <c r="C10" s="3">
        <f>Cadeia!C41*639.6*(460+(B10*9/5+32))/(Cadeia!C17*Cadeia!C16/2*Cadeia!C46)</f>
      </c>
      <c r="D10" s="3">
        <f>(C10+Cadeia!C22)/(Cadeia!C48-Cadeia!C23)</f>
      </c>
      <c r="E10" s="3">
        <f>IF(Cadeia!C18="SIM",(Cadeia!C20+273.15)*(1+(D10^0.2857-1)/Cadeia!C24)-273.15,"")</f>
      </c>
      <c r="F10" s="3">
        <f>IF(Cadeia!D18="SIM",I9-Cadeia!D25*(I9-Cadeia!D20),F9)</f>
      </c>
      <c r="G10" s="3">
        <f>Cadeia!D41*639.6*(460+(F10*9/5+32))/(Cadeia!D17*Cadeia!D16/2*Cadeia!D46)</f>
      </c>
      <c r="H10" s="3">
        <f>(G10+Cadeia!D22)/(Cadeia!D48-Cadeia!D23)</f>
      </c>
      <c r="I10" s="3">
        <f>IF(Cadeia!D18="SIM",(Cadeia!D20+273.15)*(1+(H10^0.2857-1)/Cadeia!D24)-273.15,"")</f>
      </c>
      <c r="J10" s="3">
        <f>IF(Cadeia!E18="SIM",M9-Cadeia!E25*(M9-Cadeia!E20),J9)</f>
      </c>
      <c r="K10" s="3">
        <f>Cadeia!E41*639.6*(460+(J10*9/5+32))/(Cadeia!E17*Cadeia!E16/2*Cadeia!E46)</f>
      </c>
      <c r="L10" s="3">
        <f>(K10+Cadeia!E22)/(Cadeia!E48-Cadeia!E23)</f>
      </c>
      <c r="M10" s="3">
        <f>IF(Cadeia!E18="SIM",(Cadeia!E20+273.15)*(1+(L10^0.2857-1)/Cadeia!E24)-273.15,"")</f>
      </c>
      <c r="N10" s="3">
        <f>IF(Cadeia!F18="SIM",Q9-Cadeia!F25*(Q9-Cadeia!F20),N9)</f>
      </c>
      <c r="O10" s="3">
        <f>Cadeia!F41*639.6*(460+(N10*9/5+32))/(Cadeia!F17*Cadeia!F16/2*Cadeia!F46)</f>
      </c>
      <c r="P10" s="3">
        <f>(O10+Cadeia!F22)/(Cadeia!F48-Cadeia!F23)</f>
      </c>
      <c r="Q10" s="3">
        <f>IF(Cadeia!F18="SIM",(Cadeia!F20+273.15)*(1+(P10^0.2857-1)/Cadeia!F24)-273.15,"")</f>
      </c>
    </row>
    <row r="11">
      <c r="A11" s="0">
        <v>7</v>
      </c>
      <c r="B11" s="3">
        <f>IF(Cadeia!C18="SIM",E10-Cadeia!C25*(E10-Cadeia!C20),B10)</f>
      </c>
      <c r="C11" s="3">
        <f>Cadeia!C41*639.6*(460+(B11*9/5+32))/(Cadeia!C17*Cadeia!C16/2*Cadeia!C46)</f>
      </c>
      <c r="D11" s="3">
        <f>(C11+Cadeia!C22)/(Cadeia!C48-Cadeia!C23)</f>
      </c>
      <c r="E11" s="3">
        <f>IF(Cadeia!C18="SIM",(Cadeia!C20+273.15)*(1+(D11^0.2857-1)/Cadeia!C24)-273.15,"")</f>
      </c>
      <c r="F11" s="3">
        <f>IF(Cadeia!D18="SIM",I10-Cadeia!D25*(I10-Cadeia!D20),F10)</f>
      </c>
      <c r="G11" s="3">
        <f>Cadeia!D41*639.6*(460+(F11*9/5+32))/(Cadeia!D17*Cadeia!D16/2*Cadeia!D46)</f>
      </c>
      <c r="H11" s="3">
        <f>(G11+Cadeia!D22)/(Cadeia!D48-Cadeia!D23)</f>
      </c>
      <c r="I11" s="3">
        <f>IF(Cadeia!D18="SIM",(Cadeia!D20+273.15)*(1+(H11^0.2857-1)/Cadeia!D24)-273.15,"")</f>
      </c>
      <c r="J11" s="3">
        <f>IF(Cadeia!E18="SIM",M10-Cadeia!E25*(M10-Cadeia!E20),J10)</f>
      </c>
      <c r="K11" s="3">
        <f>Cadeia!E41*639.6*(460+(J11*9/5+32))/(Cadeia!E17*Cadeia!E16/2*Cadeia!E46)</f>
      </c>
      <c r="L11" s="3">
        <f>(K11+Cadeia!E22)/(Cadeia!E48-Cadeia!E23)</f>
      </c>
      <c r="M11" s="3">
        <f>IF(Cadeia!E18="SIM",(Cadeia!E20+273.15)*(1+(L11^0.2857-1)/Cadeia!E24)-273.15,"")</f>
      </c>
      <c r="N11" s="3">
        <f>IF(Cadeia!F18="SIM",Q10-Cadeia!F25*(Q10-Cadeia!F20),N10)</f>
      </c>
      <c r="O11" s="3">
        <f>Cadeia!F41*639.6*(460+(N11*9/5+32))/(Cadeia!F17*Cadeia!F16/2*Cadeia!F46)</f>
      </c>
      <c r="P11" s="3">
        <f>(O11+Cadeia!F22)/(Cadeia!F48-Cadeia!F23)</f>
      </c>
      <c r="Q11" s="3">
        <f>IF(Cadeia!F18="SIM",(Cadeia!F20+273.15)*(1+(P11^0.2857-1)/Cadeia!F24)-273.15,"")</f>
      </c>
    </row>
    <row r="12">
      <c r="A12" s="0">
        <v>8</v>
      </c>
      <c r="B12" s="3">
        <f>IF(Cadeia!C18="SIM",E11-Cadeia!C25*(E11-Cadeia!C20),B11)</f>
      </c>
      <c r="C12" s="3">
        <f>Cadeia!C41*639.6*(460+(B12*9/5+32))/(Cadeia!C17*Cadeia!C16/2*Cadeia!C46)</f>
      </c>
      <c r="D12" s="3">
        <f>(C12+Cadeia!C22)/(Cadeia!C48-Cadeia!C23)</f>
      </c>
      <c r="E12" s="3">
        <f>IF(Cadeia!C18="SIM",(Cadeia!C20+273.15)*(1+(D12^0.2857-1)/Cadeia!C24)-273.15,"")</f>
      </c>
      <c r="F12" s="3">
        <f>IF(Cadeia!D18="SIM",I11-Cadeia!D25*(I11-Cadeia!D20),F11)</f>
      </c>
      <c r="G12" s="3">
        <f>Cadeia!D41*639.6*(460+(F12*9/5+32))/(Cadeia!D17*Cadeia!D16/2*Cadeia!D46)</f>
      </c>
      <c r="H12" s="3">
        <f>(G12+Cadeia!D22)/(Cadeia!D48-Cadeia!D23)</f>
      </c>
      <c r="I12" s="3">
        <f>IF(Cadeia!D18="SIM",(Cadeia!D20+273.15)*(1+(H12^0.2857-1)/Cadeia!D24)-273.15,"")</f>
      </c>
      <c r="J12" s="3">
        <f>IF(Cadeia!E18="SIM",M11-Cadeia!E25*(M11-Cadeia!E20),J11)</f>
      </c>
      <c r="K12" s="3">
        <f>Cadeia!E41*639.6*(460+(J12*9/5+32))/(Cadeia!E17*Cadeia!E16/2*Cadeia!E46)</f>
      </c>
      <c r="L12" s="3">
        <f>(K12+Cadeia!E22)/(Cadeia!E48-Cadeia!E23)</f>
      </c>
      <c r="M12" s="3">
        <f>IF(Cadeia!E18="SIM",(Cadeia!E20+273.15)*(1+(L12^0.2857-1)/Cadeia!E24)-273.15,"")</f>
      </c>
      <c r="N12" s="3">
        <f>IF(Cadeia!F18="SIM",Q11-Cadeia!F25*(Q11-Cadeia!F20),N11)</f>
      </c>
      <c r="O12" s="3">
        <f>Cadeia!F41*639.6*(460+(N12*9/5+32))/(Cadeia!F17*Cadeia!F16/2*Cadeia!F46)</f>
      </c>
      <c r="P12" s="3">
        <f>(O12+Cadeia!F22)/(Cadeia!F48-Cadeia!F23)</f>
      </c>
      <c r="Q12" s="3">
        <f>IF(Cadeia!F18="SIM",(Cadeia!F20+273.15)*(1+(P12^0.2857-1)/Cadeia!F24)-273.15,"")</f>
      </c>
    </row>
    <row r="13">
      <c r="A13" s="0">
        <v>9</v>
      </c>
      <c r="B13" s="3">
        <f>IF(Cadeia!C18="SIM",E12-Cadeia!C25*(E12-Cadeia!C20),B12)</f>
      </c>
      <c r="C13" s="3">
        <f>Cadeia!C41*639.6*(460+(B13*9/5+32))/(Cadeia!C17*Cadeia!C16/2*Cadeia!C46)</f>
      </c>
      <c r="D13" s="3">
        <f>(C13+Cadeia!C22)/(Cadeia!C48-Cadeia!C23)</f>
      </c>
      <c r="E13" s="3">
        <f>IF(Cadeia!C18="SIM",(Cadeia!C20+273.15)*(1+(D13^0.2857-1)/Cadeia!C24)-273.15,"")</f>
      </c>
      <c r="F13" s="3">
        <f>IF(Cadeia!D18="SIM",I12-Cadeia!D25*(I12-Cadeia!D20),F12)</f>
      </c>
      <c r="G13" s="3">
        <f>Cadeia!D41*639.6*(460+(F13*9/5+32))/(Cadeia!D17*Cadeia!D16/2*Cadeia!D46)</f>
      </c>
      <c r="H13" s="3">
        <f>(G13+Cadeia!D22)/(Cadeia!D48-Cadeia!D23)</f>
      </c>
      <c r="I13" s="3">
        <f>IF(Cadeia!D18="SIM",(Cadeia!D20+273.15)*(1+(H13^0.2857-1)/Cadeia!D24)-273.15,"")</f>
      </c>
      <c r="J13" s="3">
        <f>IF(Cadeia!E18="SIM",M12-Cadeia!E25*(M12-Cadeia!E20),J12)</f>
      </c>
      <c r="K13" s="3">
        <f>Cadeia!E41*639.6*(460+(J13*9/5+32))/(Cadeia!E17*Cadeia!E16/2*Cadeia!E46)</f>
      </c>
      <c r="L13" s="3">
        <f>(K13+Cadeia!E22)/(Cadeia!E48-Cadeia!E23)</f>
      </c>
      <c r="M13" s="3">
        <f>IF(Cadeia!E18="SIM",(Cadeia!E20+273.15)*(1+(L13^0.2857-1)/Cadeia!E24)-273.15,"")</f>
      </c>
      <c r="N13" s="3">
        <f>IF(Cadeia!F18="SIM",Q12-Cadeia!F25*(Q12-Cadeia!F20),N12)</f>
      </c>
      <c r="O13" s="3">
        <f>Cadeia!F41*639.6*(460+(N13*9/5+32))/(Cadeia!F17*Cadeia!F16/2*Cadeia!F46)</f>
      </c>
      <c r="P13" s="3">
        <f>(O13+Cadeia!F22)/(Cadeia!F48-Cadeia!F23)</f>
      </c>
      <c r="Q13" s="3">
        <f>IF(Cadeia!F18="SIM",(Cadeia!F20+273.15)*(1+(P13^0.2857-1)/Cadeia!F24)-273.15,"")</f>
      </c>
    </row>
    <row r="14">
      <c r="A14" s="0">
        <v>10</v>
      </c>
      <c r="B14" s="3">
        <f>IF(Cadeia!C18="SIM",E13-Cadeia!C25*(E13-Cadeia!C20),B13)</f>
      </c>
      <c r="C14" s="3">
        <f>Cadeia!C41*639.6*(460+(B14*9/5+32))/(Cadeia!C17*Cadeia!C16/2*Cadeia!C46)</f>
      </c>
      <c r="D14" s="3">
        <f>(C14+Cadeia!C22)/(Cadeia!C48-Cadeia!C23)</f>
      </c>
      <c r="E14" s="3">
        <f>IF(Cadeia!C18="SIM",(Cadeia!C20+273.15)*(1+(D14^0.2857-1)/Cadeia!C24)-273.15,"")</f>
      </c>
      <c r="F14" s="3">
        <f>IF(Cadeia!D18="SIM",I13-Cadeia!D25*(I13-Cadeia!D20),F13)</f>
      </c>
      <c r="G14" s="3">
        <f>Cadeia!D41*639.6*(460+(F14*9/5+32))/(Cadeia!D17*Cadeia!D16/2*Cadeia!D46)</f>
      </c>
      <c r="H14" s="3">
        <f>(G14+Cadeia!D22)/(Cadeia!D48-Cadeia!D23)</f>
      </c>
      <c r="I14" s="3">
        <f>IF(Cadeia!D18="SIM",(Cadeia!D20+273.15)*(1+(H14^0.2857-1)/Cadeia!D24)-273.15,"")</f>
      </c>
      <c r="J14" s="3">
        <f>IF(Cadeia!E18="SIM",M13-Cadeia!E25*(M13-Cadeia!E20),J13)</f>
      </c>
      <c r="K14" s="3">
        <f>Cadeia!E41*639.6*(460+(J14*9/5+32))/(Cadeia!E17*Cadeia!E16/2*Cadeia!E46)</f>
      </c>
      <c r="L14" s="3">
        <f>(K14+Cadeia!E22)/(Cadeia!E48-Cadeia!E23)</f>
      </c>
      <c r="M14" s="3">
        <f>IF(Cadeia!E18="SIM",(Cadeia!E20+273.15)*(1+(L14^0.2857-1)/Cadeia!E24)-273.15,"")</f>
      </c>
      <c r="N14" s="3">
        <f>IF(Cadeia!F18="SIM",Q13-Cadeia!F25*(Q13-Cadeia!F20),N13)</f>
      </c>
      <c r="O14" s="3">
        <f>Cadeia!F41*639.6*(460+(N14*9/5+32))/(Cadeia!F17*Cadeia!F16/2*Cadeia!F46)</f>
      </c>
      <c r="P14" s="3">
        <f>(O14+Cadeia!F22)/(Cadeia!F48-Cadeia!F23)</f>
      </c>
      <c r="Q14" s="3">
        <f>IF(Cadeia!F18="SIM",(Cadeia!F20+273.15)*(1+(P14^0.2857-1)/Cadeia!F24)-273.15,"")</f>
      </c>
    </row>
    <row r="15">
      <c r="A15" s="0">
        <v>11</v>
      </c>
      <c r="B15" s="3">
        <f>IF(Cadeia!C18="SIM",E14-Cadeia!C25*(E14-Cadeia!C20),B14)</f>
      </c>
      <c r="C15" s="3">
        <f>Cadeia!C41*639.6*(460+(B15*9/5+32))/(Cadeia!C17*Cadeia!C16/2*Cadeia!C46)</f>
      </c>
      <c r="D15" s="3">
        <f>(C15+Cadeia!C22)/(Cadeia!C48-Cadeia!C23)</f>
      </c>
      <c r="E15" s="3">
        <f>IF(Cadeia!C18="SIM",(Cadeia!C20+273.15)*(1+(D15^0.2857-1)/Cadeia!C24)-273.15,"")</f>
      </c>
      <c r="F15" s="3">
        <f>IF(Cadeia!D18="SIM",I14-Cadeia!D25*(I14-Cadeia!D20),F14)</f>
      </c>
      <c r="G15" s="3">
        <f>Cadeia!D41*639.6*(460+(F15*9/5+32))/(Cadeia!D17*Cadeia!D16/2*Cadeia!D46)</f>
      </c>
      <c r="H15" s="3">
        <f>(G15+Cadeia!D22)/(Cadeia!D48-Cadeia!D23)</f>
      </c>
      <c r="I15" s="3">
        <f>IF(Cadeia!D18="SIM",(Cadeia!D20+273.15)*(1+(H15^0.2857-1)/Cadeia!D24)-273.15,"")</f>
      </c>
      <c r="J15" s="3">
        <f>IF(Cadeia!E18="SIM",M14-Cadeia!E25*(M14-Cadeia!E20),J14)</f>
      </c>
      <c r="K15" s="3">
        <f>Cadeia!E41*639.6*(460+(J15*9/5+32))/(Cadeia!E17*Cadeia!E16/2*Cadeia!E46)</f>
      </c>
      <c r="L15" s="3">
        <f>(K15+Cadeia!E22)/(Cadeia!E48-Cadeia!E23)</f>
      </c>
      <c r="M15" s="3">
        <f>IF(Cadeia!E18="SIM",(Cadeia!E20+273.15)*(1+(L15^0.2857-1)/Cadeia!E24)-273.15,"")</f>
      </c>
      <c r="N15" s="3">
        <f>IF(Cadeia!F18="SIM",Q14-Cadeia!F25*(Q14-Cadeia!F20),N14)</f>
      </c>
      <c r="O15" s="3">
        <f>Cadeia!F41*639.6*(460+(N15*9/5+32))/(Cadeia!F17*Cadeia!F16/2*Cadeia!F46)</f>
      </c>
      <c r="P15" s="3">
        <f>(O15+Cadeia!F22)/(Cadeia!F48-Cadeia!F23)</f>
      </c>
      <c r="Q15" s="3">
        <f>IF(Cadeia!F18="SIM",(Cadeia!F20+273.15)*(1+(P15^0.2857-1)/Cadeia!F24)-273.15,"")</f>
      </c>
    </row>
    <row r="16">
      <c r="A16" s="0">
        <v>12</v>
      </c>
      <c r="B16" s="3">
        <f>IF(Cadeia!C18="SIM",E15-Cadeia!C25*(E15-Cadeia!C20),B15)</f>
      </c>
      <c r="C16" s="3">
        <f>Cadeia!C41*639.6*(460+(B16*9/5+32))/(Cadeia!C17*Cadeia!C16/2*Cadeia!C46)</f>
      </c>
      <c r="D16" s="3">
        <f>(C16+Cadeia!C22)/(Cadeia!C48-Cadeia!C23)</f>
      </c>
      <c r="E16" s="3">
        <f>IF(Cadeia!C18="SIM",(Cadeia!C20+273.15)*(1+(D16^0.2857-1)/Cadeia!C24)-273.15,"")</f>
      </c>
      <c r="F16" s="3">
        <f>IF(Cadeia!D18="SIM",I15-Cadeia!D25*(I15-Cadeia!D20),F15)</f>
      </c>
      <c r="G16" s="3">
        <f>Cadeia!D41*639.6*(460+(F16*9/5+32))/(Cadeia!D17*Cadeia!D16/2*Cadeia!D46)</f>
      </c>
      <c r="H16" s="3">
        <f>(G16+Cadeia!D22)/(Cadeia!D48-Cadeia!D23)</f>
      </c>
      <c r="I16" s="3">
        <f>IF(Cadeia!D18="SIM",(Cadeia!D20+273.15)*(1+(H16^0.2857-1)/Cadeia!D24)-273.15,"")</f>
      </c>
      <c r="J16" s="3">
        <f>IF(Cadeia!E18="SIM",M15-Cadeia!E25*(M15-Cadeia!E20),J15)</f>
      </c>
      <c r="K16" s="3">
        <f>Cadeia!E41*639.6*(460+(J16*9/5+32))/(Cadeia!E17*Cadeia!E16/2*Cadeia!E46)</f>
      </c>
      <c r="L16" s="3">
        <f>(K16+Cadeia!E22)/(Cadeia!E48-Cadeia!E23)</f>
      </c>
      <c r="M16" s="3">
        <f>IF(Cadeia!E18="SIM",(Cadeia!E20+273.15)*(1+(L16^0.2857-1)/Cadeia!E24)-273.15,"")</f>
      </c>
      <c r="N16" s="3">
        <f>IF(Cadeia!F18="SIM",Q15-Cadeia!F25*(Q15-Cadeia!F20),N15)</f>
      </c>
      <c r="O16" s="3">
        <f>Cadeia!F41*639.6*(460+(N16*9/5+32))/(Cadeia!F17*Cadeia!F16/2*Cadeia!F46)</f>
      </c>
      <c r="P16" s="3">
        <f>(O16+Cadeia!F22)/(Cadeia!F48-Cadeia!F23)</f>
      </c>
      <c r="Q16" s="3">
        <f>IF(Cadeia!F18="SIM",(Cadeia!F20+273.15)*(1+(P16^0.2857-1)/Cadeia!F24)-273.15,"")</f>
      </c>
    </row>
    <row r="17">
      <c r="A17" s="0">
        <v>13</v>
      </c>
      <c r="B17" s="3">
        <f>IF(Cadeia!C18="SIM",E16-Cadeia!C25*(E16-Cadeia!C20),B16)</f>
      </c>
      <c r="C17" s="3">
        <f>Cadeia!C41*639.6*(460+(B17*9/5+32))/(Cadeia!C17*Cadeia!C16/2*Cadeia!C46)</f>
      </c>
      <c r="D17" s="3">
        <f>(C17+Cadeia!C22)/(Cadeia!C48-Cadeia!C23)</f>
      </c>
      <c r="E17" s="3">
        <f>IF(Cadeia!C18="SIM",(Cadeia!C20+273.15)*(1+(D17^0.2857-1)/Cadeia!C24)-273.15,"")</f>
      </c>
      <c r="F17" s="3">
        <f>IF(Cadeia!D18="SIM",I16-Cadeia!D25*(I16-Cadeia!D20),F16)</f>
      </c>
      <c r="G17" s="3">
        <f>Cadeia!D41*639.6*(460+(F17*9/5+32))/(Cadeia!D17*Cadeia!D16/2*Cadeia!D46)</f>
      </c>
      <c r="H17" s="3">
        <f>(G17+Cadeia!D22)/(Cadeia!D48-Cadeia!D23)</f>
      </c>
      <c r="I17" s="3">
        <f>IF(Cadeia!D18="SIM",(Cadeia!D20+273.15)*(1+(H17^0.2857-1)/Cadeia!D24)-273.15,"")</f>
      </c>
      <c r="J17" s="3">
        <f>IF(Cadeia!E18="SIM",M16-Cadeia!E25*(M16-Cadeia!E20),J16)</f>
      </c>
      <c r="K17" s="3">
        <f>Cadeia!E41*639.6*(460+(J17*9/5+32))/(Cadeia!E17*Cadeia!E16/2*Cadeia!E46)</f>
      </c>
      <c r="L17" s="3">
        <f>(K17+Cadeia!E22)/(Cadeia!E48-Cadeia!E23)</f>
      </c>
      <c r="M17" s="3">
        <f>IF(Cadeia!E18="SIM",(Cadeia!E20+273.15)*(1+(L17^0.2857-1)/Cadeia!E24)-273.15,"")</f>
      </c>
      <c r="N17" s="3">
        <f>IF(Cadeia!F18="SIM",Q16-Cadeia!F25*(Q16-Cadeia!F20),N16)</f>
      </c>
      <c r="O17" s="3">
        <f>Cadeia!F41*639.6*(460+(N17*9/5+32))/(Cadeia!F17*Cadeia!F16/2*Cadeia!F46)</f>
      </c>
      <c r="P17" s="3">
        <f>(O17+Cadeia!F22)/(Cadeia!F48-Cadeia!F23)</f>
      </c>
      <c r="Q17" s="3">
        <f>IF(Cadeia!F18="SIM",(Cadeia!F20+273.15)*(1+(P17^0.2857-1)/Cadeia!F24)-273.15,"")</f>
      </c>
    </row>
    <row r="18">
      <c r="A18" s="0">
        <v>14</v>
      </c>
      <c r="B18" s="3">
        <f>IF(Cadeia!C18="SIM",E17-Cadeia!C25*(E17-Cadeia!C20),B17)</f>
      </c>
      <c r="C18" s="3">
        <f>Cadeia!C41*639.6*(460+(B18*9/5+32))/(Cadeia!C17*Cadeia!C16/2*Cadeia!C46)</f>
      </c>
      <c r="D18" s="3">
        <f>(C18+Cadeia!C22)/(Cadeia!C48-Cadeia!C23)</f>
      </c>
      <c r="E18" s="3">
        <f>IF(Cadeia!C18="SIM",(Cadeia!C20+273.15)*(1+(D18^0.2857-1)/Cadeia!C24)-273.15,"")</f>
      </c>
      <c r="F18" s="3">
        <f>IF(Cadeia!D18="SIM",I17-Cadeia!D25*(I17-Cadeia!D20),F17)</f>
      </c>
      <c r="G18" s="3">
        <f>Cadeia!D41*639.6*(460+(F18*9/5+32))/(Cadeia!D17*Cadeia!D16/2*Cadeia!D46)</f>
      </c>
      <c r="H18" s="3">
        <f>(G18+Cadeia!D22)/(Cadeia!D48-Cadeia!D23)</f>
      </c>
      <c r="I18" s="3">
        <f>IF(Cadeia!D18="SIM",(Cadeia!D20+273.15)*(1+(H18^0.2857-1)/Cadeia!D24)-273.15,"")</f>
      </c>
      <c r="J18" s="3">
        <f>IF(Cadeia!E18="SIM",M17-Cadeia!E25*(M17-Cadeia!E20),J17)</f>
      </c>
      <c r="K18" s="3">
        <f>Cadeia!E41*639.6*(460+(J18*9/5+32))/(Cadeia!E17*Cadeia!E16/2*Cadeia!E46)</f>
      </c>
      <c r="L18" s="3">
        <f>(K18+Cadeia!E22)/(Cadeia!E48-Cadeia!E23)</f>
      </c>
      <c r="M18" s="3">
        <f>IF(Cadeia!E18="SIM",(Cadeia!E20+273.15)*(1+(L18^0.2857-1)/Cadeia!E24)-273.15,"")</f>
      </c>
      <c r="N18" s="3">
        <f>IF(Cadeia!F18="SIM",Q17-Cadeia!F25*(Q17-Cadeia!F20),N17)</f>
      </c>
      <c r="O18" s="3">
        <f>Cadeia!F41*639.6*(460+(N18*9/5+32))/(Cadeia!F17*Cadeia!F16/2*Cadeia!F46)</f>
      </c>
      <c r="P18" s="3">
        <f>(O18+Cadeia!F22)/(Cadeia!F48-Cadeia!F23)</f>
      </c>
      <c r="Q18" s="3">
        <f>IF(Cadeia!F18="SIM",(Cadeia!F20+273.15)*(1+(P18^0.2857-1)/Cadeia!F24)-273.15,"")</f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2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8" width="40" customWidth="1"/>
  </cols>
  <sheetData>
    <row r="1">
      <c r="A1" s="6" t="inlineStr">
        <is>
          <t xml:space="preserve">Combustíveis (SPEC 7.2)</t>
        </is>
      </c>
    </row>
    <row r="2">
      <c r="A2" s="9" t="inlineStr">
        <is>
          <t xml:space="preserve">Constantes da spec</t>
        </is>
      </c>
      <c r="B2" s="0" t="inlineStr">
        <is>
          <t xml:space="preserve">Valor</t>
        </is>
      </c>
      <c r="C2" s="0" t="inlineStr">
        <is>
          <t xml:space="preserve">Unidade</t>
        </is>
      </c>
    </row>
    <row r="3">
      <c r="A3" s="0" t="inlineStr">
        <is>
          <t xml:space="preserve">AFR estequiométrico gasolina A</t>
        </is>
      </c>
      <c r="B3" s="2">
        <v>14.7</v>
      </c>
      <c r="C3" s="2" t="inlineStr">
        <is>
          <t xml:space="preserve">:1</t>
        </is>
      </c>
    </row>
    <row r="4">
      <c r="A4" s="0" t="inlineStr">
        <is>
          <t xml:space="preserve">AFR estequiométrico etanol</t>
        </is>
      </c>
      <c r="B4" s="2">
        <v>9</v>
      </c>
      <c r="C4" s="2" t="inlineStr">
        <is>
          <t xml:space="preserve">:1</t>
        </is>
      </c>
    </row>
    <row r="5">
      <c r="A5" s="0" t="inlineStr">
        <is>
          <t xml:space="preserve">Densidade gasolina A</t>
        </is>
      </c>
      <c r="B5" s="2">
        <v>0.74</v>
      </c>
      <c r="C5" s="2" t="inlineStr">
        <is>
          <t xml:space="preserve">kg/L</t>
        </is>
      </c>
    </row>
    <row r="6">
      <c r="A6" s="0" t="inlineStr">
        <is>
          <t xml:space="preserve">Densidade etanol anidro</t>
        </is>
      </c>
      <c r="B6" s="2">
        <v>0.789</v>
      </c>
      <c r="C6" s="2" t="inlineStr">
        <is>
          <t xml:space="preserve">kg/L</t>
        </is>
      </c>
    </row>
    <row r="7">
      <c r="A7" s="0" t="inlineStr">
        <is>
          <t xml:space="preserve">Etanol no EHC (fração em massa)</t>
        </is>
      </c>
      <c r="B7" s="4">
        <v>0.93</v>
      </c>
      <c r="C7" s="4" t="inlineStr">
        <is>
          <t xml:space="preserve">m/m</t>
        </is>
      </c>
    </row>
    <row r="8">
      <c r="A8" s="0" t="inlineStr">
        <is>
          <t xml:space="preserve">Densidade EHC</t>
        </is>
      </c>
      <c r="B8" s="2">
        <v>0.809</v>
      </c>
      <c r="C8" s="2" t="inlineStr">
        <is>
          <t xml:space="preserve">kg/L</t>
        </is>
      </c>
    </row>
    <row r="10">
      <c r="A10" s="1" t="inlineStr">
        <is>
          <t xml:space="preserve">Combustível</t>
        </is>
      </c>
      <c r="B10" s="1" t="inlineStr">
        <is>
          <t xml:space="preserve">Etanol (vol)</t>
        </is>
      </c>
      <c r="C10" s="1" t="inlineStr">
        <is>
          <t xml:space="preserve">Fração mássica</t>
        </is>
      </c>
      <c r="D10" s="1" t="inlineStr">
        <is>
          <t xml:space="preserve">AFR esteq.</t>
        </is>
      </c>
      <c r="E10" s="1" t="inlineStr">
        <is>
          <t xml:space="preserve">Densidade kg/L</t>
        </is>
      </c>
      <c r="F10" s="1" t="inlineStr">
        <is>
          <t xml:space="preserve">Lambda sob pressão</t>
        </is>
      </c>
      <c r="G10" s="1" t="inlineStr">
        <is>
          <t xml:space="preserve">Lambda aspirado</t>
        </is>
      </c>
      <c r="H10" s="9" t="inlineStr">
        <is>
          <t xml:space="preserve">Origem</t>
        </is>
      </c>
    </row>
    <row r="11">
      <c r="A11" s="0" t="inlineStr">
        <is>
          <t xml:space="preserve">Gasolina C comum E32</t>
        </is>
      </c>
      <c r="B11" s="3">
        <v>0.32</v>
      </c>
      <c r="C11" s="3">
        <f>B11*$B$6/(B11*$B$6+(1-B11)*$B$5)</f>
      </c>
      <c r="D11" s="3">
        <f>(1-C11)*$B$3+C11*$B$4</f>
      </c>
      <c r="E11" s="3">
        <f>B11*$B$6+(1-B11)*$B$5</f>
      </c>
      <c r="F11" s="3">
        <v>0.8</v>
      </c>
      <c r="G11" s="3">
        <v>0.87</v>
      </c>
      <c r="H11" s="9" t="inlineStr">
        <is>
          <t xml:space="preserve">Calculado (vigente desde 01/08/2026)</t>
        </is>
      </c>
    </row>
    <row r="12">
      <c r="A12" s="0" t="inlineStr">
        <is>
          <t xml:space="preserve">Gasolina premium E25</t>
        </is>
      </c>
      <c r="B12" s="3">
        <v>0.25</v>
      </c>
      <c r="C12" s="3">
        <f>B12*$B$6/(B12*$B$6+(1-B12)*$B$5)</f>
      </c>
      <c r="D12" s="3">
        <f>(1-C12)*$B$3+C12*$B$4</f>
      </c>
      <c r="E12" s="3">
        <f>B12*$B$6+(1-B12)*$B$5</f>
      </c>
      <c r="F12" s="3">
        <v>0.8</v>
      </c>
      <c r="G12" s="3">
        <v>0.87</v>
      </c>
      <c r="H12" s="9" t="inlineStr">
        <is>
          <t xml:space="preserve">Calculado</t>
        </is>
      </c>
    </row>
    <row r="13">
      <c r="A13" s="0" t="inlineStr">
        <is>
          <t xml:space="preserve">Etanol hidratado (EHC)</t>
        </is>
      </c>
      <c r="B13" s="3" t="inlineStr">
        <is>
          <t xml:space="preserve">-</t>
        </is>
      </c>
      <c r="C13" s="3">
        <f>$B$7</f>
      </c>
      <c r="D13" s="3">
        <f>$B$4*$B$7</f>
      </c>
      <c r="E13" s="3">
        <f>$B$8</f>
      </c>
      <c r="F13" s="3">
        <v>0.8</v>
      </c>
      <c r="G13" s="3">
        <v>0.87</v>
      </c>
      <c r="H13" s="9" t="inlineStr">
        <is>
          <t xml:space="preserve">Calculado: 9,0 x fração de etanol</t>
        </is>
      </c>
    </row>
    <row r="14">
      <c r="A14" s="0" t="inlineStr">
        <is>
          <t xml:space="preserve">Etanol anidro</t>
        </is>
      </c>
      <c r="B14" s="3" t="inlineStr">
        <is>
          <t xml:space="preserve">-</t>
        </is>
      </c>
      <c r="C14" s="3">
        <v>1</v>
      </c>
      <c r="D14" s="3">
        <v>9</v>
      </c>
      <c r="E14" s="3">
        <v>0.789</v>
      </c>
      <c r="F14" s="3">
        <v>0.8</v>
      </c>
      <c r="G14" s="3">
        <v>0.87</v>
      </c>
      <c r="H14" s="9" t="inlineStr">
        <is>
          <t xml:space="preserve">Valor da spec</t>
        </is>
      </c>
    </row>
    <row r="15">
      <c r="A15" s="0" t="inlineStr">
        <is>
          <t xml:space="preserve">E85</t>
        </is>
      </c>
      <c r="B15" s="3" t="inlineStr">
        <is>
          <t xml:space="preserve">-</t>
        </is>
      </c>
      <c r="C15" s="3" t="inlineStr">
        <is>
          <t xml:space="preserve">-</t>
        </is>
      </c>
      <c r="D15" s="3">
        <v>9.75</v>
      </c>
      <c r="E15" s="3">
        <v>0.78</v>
      </c>
      <c r="F15" s="3">
        <v>0.8</v>
      </c>
      <c r="G15" s="3">
        <v>0.87</v>
      </c>
      <c r="H15" s="9" t="inlineStr">
        <is>
          <t xml:space="preserve">Valor da spec</t>
        </is>
      </c>
    </row>
    <row r="16">
      <c r="A16" s="0" t="inlineStr">
        <is>
          <t xml:space="preserve">Metanol</t>
        </is>
      </c>
      <c r="B16" s="3" t="inlineStr">
        <is>
          <t xml:space="preserve">-</t>
        </is>
      </c>
      <c r="C16" s="3" t="inlineStr">
        <is>
          <t xml:space="preserve">-</t>
        </is>
      </c>
      <c r="D16" s="3">
        <v>6.42</v>
      </c>
      <c r="E16" s="3">
        <v>0.792</v>
      </c>
      <c r="F16" s="3">
        <v>0.65</v>
      </c>
      <c r="G16" s="3">
        <v>0.7</v>
      </c>
      <c r="H16" s="9" t="inlineStr">
        <is>
          <t xml:space="preserve">Valor da spec (lambda com aviso amarelo)</t>
        </is>
      </c>
    </row>
    <row r="18">
      <c r="A18" s="9" t="inlineStr">
        <is>
          <t xml:space="preserve">Conferência: a spec traz E32 = 12,80 e 0,756; E25 = 13,21 e 0,752; EHC = 8,37.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cols>
    <col min="1" max="1" width="38" customWidth="1"/>
    <col min="2" max="2" width="12" customWidth="1"/>
    <col min="3" max="3" width="12" customWidth="1"/>
    <col min="4" max="4" width="7" customWidth="1"/>
    <col min="5" max="5" width="12" customWidth="1"/>
    <col min="6" max="6" width="12" customWidth="1"/>
    <col min="7" max="7" width="7" customWidth="1"/>
    <col min="8" max="8" width="12" customWidth="1"/>
    <col min="9" max="9" width="12" customWidth="1"/>
    <col min="10" max="10" width="7" customWidth="1"/>
    <col min="11" max="11" width="12" customWidth="1"/>
    <col min="12" max="12" width="12" customWidth="1"/>
    <col min="13" max="13" width="7" customWidth="1"/>
  </cols>
  <sheetData>
    <row r="1">
      <c r="A1" s="6" t="inlineStr">
        <is>
          <t xml:space="preserve">Conferência dos casos golden (SPEC 7.6) - tolerância de 1%</t>
        </is>
      </c>
    </row>
    <row r="3">
      <c r="A3" s="1" t="inlineStr">
        <is>
          <t xml:space="preserve">Item</t>
        </is>
      </c>
      <c r="B3" s="1" t="inlineStr">
        <is>
          <t xml:space="preserve">Esperado A</t>
        </is>
      </c>
      <c r="C3" s="1" t="inlineStr">
        <is>
          <t xml:space="preserve">Calculado A</t>
        </is>
      </c>
      <c r="D3" s="1" t="inlineStr">
        <is>
          <t xml:space="preserve">A</t>
        </is>
      </c>
      <c r="E3" s="1" t="inlineStr">
        <is>
          <t xml:space="preserve">Esperado B</t>
        </is>
      </c>
      <c r="F3" s="1" t="inlineStr">
        <is>
          <t xml:space="preserve">Calculado B</t>
        </is>
      </c>
      <c r="G3" s="1" t="inlineStr">
        <is>
          <t xml:space="preserve">B</t>
        </is>
      </c>
      <c r="H3" s="1" t="inlineStr">
        <is>
          <t xml:space="preserve">Esperado C</t>
        </is>
      </c>
      <c r="I3" s="1" t="inlineStr">
        <is>
          <t xml:space="preserve">Calculado C</t>
        </is>
      </c>
      <c r="J3" s="1" t="inlineStr">
        <is>
          <t xml:space="preserve">C</t>
        </is>
      </c>
      <c r="K3" s="1" t="inlineStr">
        <is>
          <t xml:space="preserve">Esperado D</t>
        </is>
      </c>
      <c r="L3" s="1" t="inlineStr">
        <is>
          <t xml:space="preserve">Calculado D</t>
        </is>
      </c>
      <c r="M3" s="1" t="inlineStr">
        <is>
          <t xml:space="preserve">D</t>
        </is>
      </c>
    </row>
    <row r="4">
      <c r="A4" s="0" t="inlineStr">
        <is>
          <t xml:space="preserve">Wa (lb/min)</t>
        </is>
      </c>
      <c r="B4" s="3">
        <v>57.31</v>
      </c>
      <c r="C4" s="3">
        <f>Cadeia!C41</f>
      </c>
      <c r="D4" s="3">
        <f>IF(ISNUMBER(B4),IF(ABS(C4/B4-1)&lt;=0.01,"OK","FALHA"),IF(C4=B4,"OK","FALHA"))</f>
      </c>
      <c r="E4" s="3">
        <v>37.57</v>
      </c>
      <c r="F4" s="3">
        <f>Cadeia!D41</f>
      </c>
      <c r="G4" s="3">
        <f>IF(ISNUMBER(E4),IF(ABS(F4/E4-1)&lt;=0.01,"OK","FALHA"),IF(F4=E4,"OK","FALHA"))</f>
      </c>
      <c r="H4" s="3">
        <v>14.09</v>
      </c>
      <c r="I4" s="3">
        <f>Cadeia!E41</f>
      </c>
      <c r="J4" s="3">
        <f>IF(ISNUMBER(H4),IF(ABS(I4/H4-1)&lt;=0.01,"OK","FALHA"),IF(I4=H4,"OK","FALHA"))</f>
      </c>
      <c r="K4" s="3">
        <v>42.27</v>
      </c>
      <c r="L4" s="3">
        <f>Cadeia!F41</f>
      </c>
      <c r="M4" s="3">
        <f>IF(ISNUMBER(K4),IF(ABS(L4/K4-1)&lt;=0.01,"OK","FALHA"),IF(L4=K4,"OK","FALHA"))</f>
      </c>
    </row>
    <row r="5">
      <c r="A5" s="0" t="inlineStr">
        <is>
          <t xml:space="preserve">MAP (psia)</t>
        </is>
      </c>
      <c r="B5" s="3">
        <v>25.89</v>
      </c>
      <c r="C5" s="3">
        <f>Cadeia!C52</f>
      </c>
      <c r="D5" s="3">
        <f>IF(ISNUMBER(B5),IF(ABS(C5/B5-1)&lt;=0.01,"OK","FALHA"),IF(C5=B5,"OK","FALHA"))</f>
      </c>
    </row>
    <row r="6">
      <c r="A6" s="0" t="inlineStr">
        <is>
          <t xml:space="preserve">PR</t>
        </is>
      </c>
      <c r="B6" s="3">
        <v>2.04</v>
      </c>
      <c r="C6" s="3">
        <f>Cadeia!C54</f>
      </c>
      <c r="D6" s="3">
        <f>IF(ISNUMBER(B6),IF(ABS(C6/B6-1)&lt;=0.01,"OK","FALHA"),IF(C6=B6,"OK","FALHA"))</f>
      </c>
      <c r="E6" s="3">
        <v>2.91</v>
      </c>
      <c r="F6" s="3">
        <f>Cadeia!D54</f>
      </c>
      <c r="G6" s="3">
        <f>IF(ISNUMBER(E6),IF(ABS(F6/E6-1)&lt;=0.01,"OK","FALHA"),IF(F6=E6,"OK","FALHA"))</f>
      </c>
      <c r="H6" s="3">
        <v>2.78</v>
      </c>
      <c r="I6" s="3">
        <f>Cadeia!E54</f>
      </c>
      <c r="J6" s="3">
        <f>IF(ISNUMBER(H6),IF(ABS(I6/H6-1)&lt;=0.01,"OK","FALHA"),IF(I6=H6,"OK","FALHA"))</f>
      </c>
    </row>
    <row r="7">
      <c r="A7" s="0" t="inlineStr">
        <is>
          <t xml:space="preserve">Combustível (kg/h)</t>
        </is>
      </c>
      <c r="E7" s="3">
        <v>152.8</v>
      </c>
      <c r="F7" s="3">
        <f>Cadeia!D43</f>
      </c>
      <c r="G7" s="3">
        <f>IF(ISNUMBER(E7),IF(ABS(F7/E7-1)&lt;=0.01,"OK","FALHA"),IF(F7=E7,"OK","FALHA"))</f>
      </c>
      <c r="H7" s="3">
        <v>37.5</v>
      </c>
      <c r="I7" s="3">
        <f>Cadeia!E43</f>
      </c>
      <c r="J7" s="3">
        <f>IF(ISNUMBER(H7),IF(ABS(I7/H7-1)&lt;=0.01,"OK","FALHA"),IF(I7=H7,"OK","FALHA"))</f>
      </c>
      <c r="K7" s="3">
        <v>103.3</v>
      </c>
      <c r="L7" s="3">
        <f>Cadeia!F43</f>
      </c>
      <c r="M7" s="3">
        <f>IF(ISNUMBER(K7),IF(ABS(L7/K7-1)&lt;=0.01,"OK","FALHA"),IF(L7=K7,"OK","FALHA"))</f>
      </c>
    </row>
    <row r="8">
      <c r="A8" s="0" t="inlineStr">
        <is>
          <t xml:space="preserve">BSFC</t>
        </is>
      </c>
      <c r="H8" s="3">
        <v>0.558</v>
      </c>
      <c r="I8" s="3">
        <f>Cadeia!E44</f>
      </c>
      <c r="J8" s="3">
        <f>IF(ISNUMBER(H8),IF(ABS(I8/H8-1)&lt;=0.01,"OK","FALHA"),IF(I8=H8,"OK","FALHA"))</f>
      </c>
      <c r="K8" s="3">
        <v>0.513</v>
      </c>
      <c r="L8" s="3">
        <f>Cadeia!F44</f>
      </c>
      <c r="M8" s="3">
        <f>IF(ISNUMBER(K8),IF(ABS(L8/K8-1)&lt;=0.01,"OK","FALHA"),IF(L8=K8,"OK","FALHA"))</f>
      </c>
    </row>
    <row r="9">
      <c r="A9" s="0" t="inlineStr">
        <is>
          <t xml:space="preserve">Cilindrada (cc)</t>
        </is>
      </c>
      <c r="H9" s="3">
        <v>999</v>
      </c>
      <c r="I9" s="3">
        <f>Cadeia!E45</f>
      </c>
      <c r="J9" s="3">
        <f>IF(ISNUMBER(H9),IF(ABS(I9/H9-1)&lt;=0.01,"OK","FALHA"),IF(I9=H9,"OK","FALHA"))</f>
      </c>
      <c r="K9" s="3">
        <v>6002</v>
      </c>
      <c r="L9" s="3">
        <f>Cadeia!F45</f>
      </c>
      <c r="M9" s="3">
        <f>IF(ISNUMBER(K9),IF(ABS(L9/K9-1)&lt;=0.01,"OK","FALHA"),IF(L9=K9,"OK","FALHA"))</f>
      </c>
    </row>
    <row r="10">
      <c r="A10" s="0" t="inlineStr">
        <is>
          <t xml:space="preserve">Vazão por bico (g/min)</t>
        </is>
      </c>
      <c r="E10" s="3">
        <v>796</v>
      </c>
      <c r="F10" s="3">
        <f>Cadeia!D57</f>
      </c>
      <c r="G10" s="3">
        <f>IF(ISNUMBER(E10),IF(ABS(F10/E10-1)&lt;=0.01,"OK","FALHA"),IF(F10=E10,"OK","FALHA"))</f>
      </c>
      <c r="H10" s="3">
        <v>260</v>
      </c>
      <c r="I10" s="3">
        <f>Cadeia!E57</f>
      </c>
      <c r="J10" s="3">
        <f>IF(ISNUMBER(H10),IF(ABS(I10/H10-1)&lt;=0.01,"OK","FALHA"),IF(I10=H10,"OK","FALHA"))</f>
      </c>
      <c r="K10" s="3">
        <v>179</v>
      </c>
      <c r="L10" s="3">
        <f>Cadeia!F57</f>
      </c>
      <c r="M10" s="3">
        <f>IF(ISNUMBER(K10),IF(ABS(L10/K10-1)&lt;=0.01,"OK","FALHA"),IF(L10=K10,"OK","FALHA"))</f>
      </c>
    </row>
    <row r="11">
      <c r="A11" s="0" t="inlineStr">
        <is>
          <t xml:space="preserve">Vazão por bico (cc/min de combustível)</t>
        </is>
      </c>
      <c r="E11" s="3">
        <v>984</v>
      </c>
      <c r="F11" s="3">
        <f>Cadeia!D58</f>
      </c>
      <c r="G11" s="3">
        <f>IF(ISNUMBER(E11),IF(ABS(F11/E11-1)&lt;=0.01,"OK","FALHA"),IF(F11=E11,"OK","FALHA"))</f>
      </c>
      <c r="H11" s="3">
        <v>344</v>
      </c>
      <c r="I11" s="3">
        <f>Cadeia!E58</f>
      </c>
      <c r="J11" s="3">
        <f>IF(ISNUMBER(H11),IF(ABS(I11/H11-1)&lt;=0.01,"OK","FALHA"),IF(I11=H11,"OK","FALHA"))</f>
      </c>
      <c r="K11" s="3">
        <v>237</v>
      </c>
      <c r="L11" s="3">
        <f>Cadeia!F58</f>
      </c>
      <c r="M11" s="3">
        <f>IF(ISNUMBER(K11),IF(ABS(L11/K11-1)&lt;=0.01,"OK","FALHA"),IF(L11=K11,"OK","FALHA"))</f>
      </c>
    </row>
    <row r="12">
      <c r="A12" s="0" t="inlineStr">
        <is>
          <t xml:space="preserve">Vazão nominal (cc/min)</t>
        </is>
      </c>
      <c r="E12" s="3">
        <v>1058</v>
      </c>
      <c r="F12" s="3">
        <f>Cadeia!D59</f>
      </c>
      <c r="G12" s="3">
        <f>IF(ISNUMBER(E12),IF(ABS(F12/E12-1)&lt;=0.01,"OK","FALHA"),IF(F12=E12,"OK","FALHA"))</f>
      </c>
      <c r="H12" s="3">
        <v>358</v>
      </c>
      <c r="I12" s="3">
        <f>Cadeia!E59</f>
      </c>
      <c r="J12" s="3">
        <f>IF(ISNUMBER(H12),IF(ABS(I12/H12-1)&lt;=0.01,"OK","FALHA"),IF(I12=H12,"OK","FALHA"))</f>
      </c>
      <c r="K12" s="3">
        <v>247</v>
      </c>
      <c r="L12" s="3">
        <f>Cadeia!F59</f>
      </c>
      <c r="M12" s="3">
        <f>IF(ISNUMBER(K12),IF(ABS(L12/K12-1)&lt;=0.01,"OK","FALHA"),IF(L12=K12,"OK","FALHA"))</f>
      </c>
    </row>
    <row r="13">
      <c r="A13" s="0" t="inlineStr">
        <is>
          <t xml:space="preserve">P_atm (kPa)</t>
        </is>
      </c>
      <c r="E13" s="3">
        <v>94.3</v>
      </c>
      <c r="F13" s="3">
        <f>Cadeia!D47</f>
      </c>
      <c r="G13" s="3">
        <f>IF(ISNUMBER(E13),IF(ABS(F13/E13-1)&lt;=0.01,"OK","FALHA"),IF(F13=E13,"OK","FALHA"))</f>
      </c>
      <c r="H13" s="3">
        <v>94.3</v>
      </c>
      <c r="I13" s="3">
        <f>Cadeia!E47</f>
      </c>
      <c r="J13" s="3">
        <f>IF(ISNUMBER(H13),IF(ABS(I13/H13-1)&lt;=0.01,"OK","FALHA"),IF(I13=H13,"OK","FALHA"))</f>
      </c>
    </row>
    <row r="14">
      <c r="A14" s="0" t="inlineStr">
        <is>
          <t xml:space="preserve">MAP (kPa)</t>
        </is>
      </c>
      <c r="E14" s="3">
        <v>241</v>
      </c>
      <c r="F14" s="3">
        <f>Cadeia!D53</f>
      </c>
      <c r="G14" s="3">
        <f>IF(ISNUMBER(E14),IF(ABS(F14/E14-1)&lt;=0.01,"OK","FALHA"),IF(F14=E14,"OK","FALHA"))</f>
      </c>
      <c r="H14" s="3">
        <v>229</v>
      </c>
      <c r="I14" s="3">
        <f>Cadeia!E53</f>
      </c>
      <c r="J14" s="3">
        <f>IF(ISNUMBER(H14),IF(ABS(I14/H14-1)&lt;=0.01,"OK","FALHA"),IF(I14=H14,"OK","FALHA"))</f>
      </c>
      <c r="K14" s="3">
        <v>96.6</v>
      </c>
      <c r="L14" s="3">
        <f>Cadeia!F53</f>
      </c>
      <c r="M14" s="3">
        <f>IF(ISNUMBER(K14),IF(ABS(L14/K14-1)&lt;=0.01,"OK","FALHA"),IF(L14=K14,"OK","FALHA"))</f>
      </c>
    </row>
    <row r="15">
      <c r="A15" s="0" t="inlineStr">
        <is>
          <t xml:space="preserve">T2 (°C)</t>
        </is>
      </c>
      <c r="E15" s="3">
        <v>173</v>
      </c>
      <c r="F15" s="3">
        <f>Cadeia!D55</f>
      </c>
      <c r="G15" s="3">
        <f>IF(ISNUMBER(E15),IF(ABS(F15/E15-1)&lt;=0.01,"OK","FALHA"),IF(F15=E15,"OK","FALHA"))</f>
      </c>
      <c r="H15" s="3">
        <v>165</v>
      </c>
      <c r="I15" s="3">
        <f>Cadeia!E55</f>
      </c>
      <c r="J15" s="3">
        <f>IF(ISNUMBER(H15),IF(ABS(I15/H15-1)&lt;=0.01,"OK","FALHA"),IF(I15=H15,"OK","FALHA"))</f>
      </c>
    </row>
    <row r="16">
      <c r="A16" s="0" t="inlineStr">
        <is>
          <t xml:space="preserve">Tm (°C)</t>
        </is>
      </c>
      <c r="E16" s="3">
        <v>55</v>
      </c>
      <c r="F16" s="3">
        <f>Cadeia!D50</f>
      </c>
      <c r="G16" s="3">
        <f>IF(ISNUMBER(E16),IF(ABS(F16/E16-1)&lt;=0.01,"OK","FALHA"),IF(F16=E16,"OK","FALHA"))</f>
      </c>
      <c r="H16" s="3">
        <v>53</v>
      </c>
      <c r="I16" s="3">
        <f>Cadeia!E50</f>
      </c>
      <c r="J16" s="3">
        <f>IF(ISNUMBER(H16),IF(ABS(I16/H16-1)&lt;=0.01,"OK","FALHA"),IF(I16=H16,"OK","FALHA"))</f>
      </c>
      <c r="K16" s="3">
        <v>35</v>
      </c>
      <c r="L16" s="3">
        <f>Cadeia!F50</f>
      </c>
      <c r="M16" s="3">
        <f>IF(ISNUMBER(K16),IF(ABS(L16/K16-1)&lt;=0.01,"OK","FALHA"),IF(L16=K16,"OK","FALHA"))</f>
      </c>
    </row>
    <row r="17">
      <c r="A17" s="0" t="inlineStr">
        <is>
          <t xml:space="preserve">TI efetivo (ms)</t>
        </is>
      </c>
      <c r="E17" s="3">
        <v>13.81</v>
      </c>
      <c r="F17" s="3">
        <f>Cadeia!D64</f>
      </c>
      <c r="G17" s="3">
        <f>IF(ISNUMBER(E17),IF(ABS(F17/E17-1)&lt;=0.01,"OK","FALHA"),IF(F17=E17,"OK","FALHA"))</f>
      </c>
      <c r="H17" s="3">
        <v>14.19</v>
      </c>
      <c r="I17" s="3">
        <f>Cadeia!E64</f>
      </c>
      <c r="J17" s="3">
        <f>IF(ISNUMBER(H17),IF(ABS(I17/H17-1)&lt;=0.01,"OK","FALHA"),IF(I17=H17,"OK","FALHA"))</f>
      </c>
      <c r="K17" s="3">
        <v>14.01</v>
      </c>
      <c r="L17" s="3">
        <f>Cadeia!F64</f>
      </c>
      <c r="M17" s="3">
        <f>IF(ISNUMBER(K17),IF(ABS(L17/K17-1)&lt;=0.01,"OK","FALHA"),IF(L17=K17,"OK","FALHA"))</f>
      </c>
    </row>
    <row r="18">
      <c r="A18" s="0" t="inlineStr">
        <is>
          <t xml:space="preserve">TI com tempo morto (ms)</t>
        </is>
      </c>
      <c r="E18" s="3">
        <v>14.81</v>
      </c>
      <c r="F18" s="3">
        <f>Cadeia!D65</f>
      </c>
      <c r="G18" s="3">
        <f>IF(ISNUMBER(E18),IF(ABS(F18/E18-1)&lt;=0.01,"OK","FALHA"),IF(F18=E18,"OK","FALHA"))</f>
      </c>
      <c r="H18" s="3">
        <v>15.19</v>
      </c>
      <c r="I18" s="3">
        <f>Cadeia!E65</f>
      </c>
      <c r="J18" s="3">
        <f>IF(ISNUMBER(H18),IF(ABS(I18/H18-1)&lt;=0.01,"OK","FALHA"),IF(I18=H18,"OK","FALHA"))</f>
      </c>
      <c r="K18" s="3">
        <v>15.01</v>
      </c>
      <c r="L18" s="3">
        <f>Cadeia!F65</f>
      </c>
      <c r="M18" s="3">
        <f>IF(ISNUMBER(K18),IF(ABS(L18/K18-1)&lt;=0.01,"OK","FALHA"),IF(L18=K18,"OK","FALHA"))</f>
      </c>
    </row>
    <row r="19">
      <c r="A19" s="0" t="inlineStr">
        <is>
          <t xml:space="preserve">Ciclo (ms)</t>
        </is>
      </c>
      <c r="E19" s="3">
        <v>17.14</v>
      </c>
      <c r="F19" s="3">
        <f>Cadeia!D66</f>
      </c>
      <c r="G19" s="3">
        <f>IF(ISNUMBER(E19),IF(ABS(F19/E19-1)&lt;=0.01,"OK","FALHA"),IF(F19=E19,"OK","FALHA"))</f>
      </c>
      <c r="H19" s="3">
        <v>21.82</v>
      </c>
      <c r="I19" s="3">
        <f>Cadeia!E66</f>
      </c>
      <c r="J19" s="3">
        <f>IF(ISNUMBER(H19),IF(ABS(I19/H19-1)&lt;=0.01,"OK","FALHA"),IF(I19=H19,"OK","FALHA"))</f>
      </c>
      <c r="K19" s="3">
        <v>18.46</v>
      </c>
      <c r="L19" s="3">
        <f>Cadeia!F66</f>
      </c>
      <c r="M19" s="3">
        <f>IF(ISNUMBER(K19),IF(ABS(L19/K19-1)&lt;=0.01,"OK","FALHA"),IF(L19=K19,"OK","FALHA"))</f>
      </c>
    </row>
    <row r="20">
      <c r="A20" s="0" t="inlineStr">
        <is>
          <t xml:space="preserve">DC</t>
        </is>
      </c>
      <c r="E20" s="3">
        <v>0.86</v>
      </c>
      <c r="F20" s="3">
        <f>Cadeia!D67</f>
      </c>
      <c r="G20" s="3">
        <f>IF(ISNUMBER(E20),IF(ABS(F20/E20-1)&lt;=0.01,"OK","FALHA"),IF(F20=E20,"OK","FALHA"))</f>
      </c>
      <c r="H20" s="3">
        <v>0.7</v>
      </c>
      <c r="I20" s="3">
        <f>Cadeia!E67</f>
      </c>
      <c r="J20" s="3">
        <f>IF(ISNUMBER(H20),IF(ABS(I20/H20-1)&lt;=0.01,"OK","FALHA"),IF(I20=H20,"OK","FALHA"))</f>
      </c>
      <c r="K20" s="3">
        <v>0.81</v>
      </c>
      <c r="L20" s="3">
        <f>Cadeia!F67</f>
      </c>
      <c r="M20" s="3">
        <f>IF(ISNUMBER(K20),IF(ABS(L20/K20-1)&lt;=0.01,"OK","FALHA"),IF(L20=K20,"OK","FALHA"))</f>
      </c>
    </row>
    <row r="21">
      <c r="A21" s="0" t="inlineStr">
        <is>
          <t xml:space="preserve">DC bico 1.300 cc a 3 bar</t>
        </is>
      </c>
      <c r="E21" s="3">
        <v>0.71</v>
      </c>
      <c r="F21" s="3">
        <f>Cadeia!D68</f>
      </c>
      <c r="G21" s="3">
        <f>IF(ISNUMBER(E21),IF(ABS(F21/E21-1)&lt;=0.01,"OK","FALHA"),IF(F21=E21,"OK","FALHA"))</f>
      </c>
    </row>
    <row r="22">
      <c r="A22" s="0" t="inlineStr">
        <is>
          <t xml:space="preserve">DC bico 1.050 cc a 4 bar</t>
        </is>
      </c>
      <c r="E22" s="3">
        <v>0.76</v>
      </c>
      <c r="F22" s="3">
        <f>Cadeia!D69</f>
      </c>
      <c r="G22" s="3">
        <f>IF(ISNUMBER(E22),IF(ABS(F22/E22-1)&lt;=0.01,"OK","FALHA"),IF(F22=E22,"OK","FALHA"))</f>
      </c>
    </row>
    <row r="23">
      <c r="A23" s="0" t="inlineStr">
        <is>
          <t xml:space="preserve">BMEP (bar)</t>
        </is>
      </c>
      <c r="E23" s="3">
        <v>25.2</v>
      </c>
      <c r="F23" s="3">
        <f>Cadeia!D70</f>
      </c>
      <c r="G23" s="3">
        <f>IF(ISNUMBER(E23),IF(ABS(F23/E23-1)&lt;=0.01,"OK","FALHA"),IF(F23=E23,"OK","FALHA"))</f>
      </c>
      <c r="H23" s="3">
        <v>24.1</v>
      </c>
      <c r="I23" s="3">
        <f>Cadeia!E70</f>
      </c>
      <c r="J23" s="3">
        <f>IF(ISNUMBER(H23),IF(ABS(I23/H23-1)&lt;=0.01,"OK","FALHA"),IF(I23=H23,"OK","FALHA"))</f>
      </c>
      <c r="K23" s="3">
        <v>10.2</v>
      </c>
      <c r="L23" s="3">
        <f>Cadeia!F70</f>
      </c>
      <c r="M23" s="3">
        <f>IF(ISNUMBER(K23),IF(ABS(L23/K23-1)&lt;=0.01,"OK","FALHA"),IF(L23=K23,"OK","FALHA"))</f>
      </c>
    </row>
    <row r="24">
      <c r="A24" s="0" t="inlineStr">
        <is>
          <t xml:space="preserve">Torque (N·m)</t>
        </is>
      </c>
      <c r="E24" s="3">
        <v>401</v>
      </c>
      <c r="F24" s="3">
        <f>Cadeia!D71</f>
      </c>
      <c r="G24" s="3">
        <f>IF(ISNUMBER(E24),IF(ABS(F24/E24-1)&lt;=0.01,"OK","FALHA"),IF(F24=E24,"OK","FALHA"))</f>
      </c>
      <c r="H24" s="3">
        <v>192</v>
      </c>
      <c r="I24" s="3">
        <f>Cadeia!E71</f>
      </c>
      <c r="J24" s="3">
        <f>IF(ISNUMBER(H24),IF(ABS(I24/H24-1)&lt;=0.01,"OK","FALHA"),IF(I24=H24,"OK","FALHA"))</f>
      </c>
      <c r="K24" s="3">
        <v>486</v>
      </c>
      <c r="L24" s="3">
        <f>Cadeia!F71</f>
      </c>
      <c r="M24" s="3">
        <f>IF(ISNUMBER(K24),IF(ABS(L24/K24-1)&lt;=0.01,"OK","FALHA"),IF(L24=K24,"OK","FALHA"))</f>
      </c>
    </row>
    <row r="25">
      <c r="A25" s="0" t="inlineStr">
        <is>
          <t xml:space="preserve">Velocidade do pistão (m/s)</t>
        </is>
      </c>
      <c r="E25" s="3">
        <v>21.7</v>
      </c>
      <c r="F25" s="3">
        <f>Cadeia!D72</f>
      </c>
      <c r="G25" s="3">
        <f>IF(ISNUMBER(E25),IF(ABS(F25/E25-1)&lt;=0.01,"OK","FALHA"),IF(F25=E25,"OK","FALHA"))</f>
      </c>
      <c r="H25" s="3">
        <v>14</v>
      </c>
      <c r="I25" s="3">
        <f>Cadeia!E72</f>
      </c>
      <c r="J25" s="3">
        <f>IF(ISNUMBER(H25),IF(ABS(I25/H25-1)&lt;=0.01,"OK","FALHA"),IF(I25=H25,"OK","FALHA"))</f>
      </c>
      <c r="K25" s="3">
        <v>17.4</v>
      </c>
      <c r="L25" s="3">
        <f>Cadeia!F72</f>
      </c>
      <c r="M25" s="3">
        <f>IF(ISNUMBER(K25),IF(ABS(L25/K25-1)&lt;=0.01,"OK","FALHA"),IF(L25=K25,"OK","FALHA"))</f>
      </c>
    </row>
    <row r="26">
      <c r="A26" s="0" t="inlineStr">
        <is>
          <t xml:space="preserve">Aspirado: MAP ÷ P_atm a 600 m</t>
        </is>
      </c>
      <c r="K26" s="3">
        <v>1.024</v>
      </c>
      <c r="L26" s="3">
        <f>Cadeia!F56</f>
      </c>
      <c r="M26" s="3">
        <f>IF(ISNUMBER(K26),IF(ABS(L26/K26-1)&lt;=0.01,"OK","FALHA"),IF(L26=K26,"OK","FALHA"))</f>
      </c>
    </row>
    <row r="27">
      <c r="A27" s="0" t="inlineStr">
        <is>
          <t xml:space="preserve">Aspirado: MAP ÷ P_atm ao nível do mar</t>
        </is>
      </c>
      <c r="K27" s="3">
        <v>0.953</v>
      </c>
      <c r="L27" s="3">
        <f>Cadeia!F78</f>
      </c>
      <c r="M27" s="3">
        <f>IF(ISNUMBER(K27),IF(ABS(L27/K27-1)&lt;=0.01,"OK","FALHA"),IF(L27=K27,"OK","FALHA"))</f>
      </c>
    </row>
    <row r="28">
      <c r="A28" s="0" t="inlineStr">
        <is>
          <t xml:space="preserve">Semáforo DC</t>
        </is>
      </c>
      <c r="E28" s="3" t="inlineStr">
        <is>
          <t xml:space="preserve">VERMELHO</t>
        </is>
      </c>
      <c r="F28" s="3">
        <f>Cadeia!D74</f>
      </c>
      <c r="G28" s="3">
        <f>IF(ISNUMBER(E28),IF(ABS(F28/E28-1)&lt;=0.01,"OK","FALHA"),IF(F28=E28,"OK","FALHA"))</f>
      </c>
      <c r="H28" s="3" t="inlineStr">
        <is>
          <t xml:space="preserve">VERDE</t>
        </is>
      </c>
      <c r="I28" s="3">
        <f>Cadeia!E74</f>
      </c>
      <c r="J28" s="3">
        <f>IF(ISNUMBER(H28),IF(ABS(I28/H28-1)&lt;=0.01,"OK","FALHA"),IF(I28=H28,"OK","FALHA"))</f>
      </c>
      <c r="K28" s="3" t="inlineStr">
        <is>
          <t xml:space="preserve">AMARELO</t>
        </is>
      </c>
      <c r="L28" s="3">
        <f>Cadeia!F74</f>
      </c>
      <c r="M28" s="3">
        <f>IF(ISNUMBER(K28),IF(ABS(L28/K28-1)&lt;=0.01,"OK","FALHA"),IF(L28=K28,"OK","FALHA"))</f>
      </c>
    </row>
    <row r="29">
      <c r="A29" s="0" t="inlineStr">
        <is>
          <t xml:space="preserve">Semáforo BMEP</t>
        </is>
      </c>
      <c r="E29" s="3" t="inlineStr">
        <is>
          <t xml:space="preserve">AMARELO</t>
        </is>
      </c>
      <c r="F29" s="3">
        <f>Cadeia!D75</f>
      </c>
      <c r="G29" s="3">
        <f>IF(ISNUMBER(E29),IF(ABS(F29/E29-1)&lt;=0.01,"OK","FALHA"),IF(F29=E29,"OK","FALHA"))</f>
      </c>
      <c r="H29" s="3" t="inlineStr">
        <is>
          <t xml:space="preserve">AMARELO</t>
        </is>
      </c>
      <c r="I29" s="3">
        <f>Cadeia!E75</f>
      </c>
      <c r="J29" s="3">
        <f>IF(ISNUMBER(H29),IF(ABS(I29/H29-1)&lt;=0.01,"OK","FALHA"),IF(I29=H29,"OK","FALHA"))</f>
      </c>
      <c r="K29" s="3" t="inlineStr">
        <is>
          <t xml:space="preserve">VERDE</t>
        </is>
      </c>
      <c r="L29" s="3">
        <f>Cadeia!F75</f>
      </c>
      <c r="M29" s="3">
        <f>IF(ISNUMBER(K29),IF(ABS(L29/K29-1)&lt;=0.01,"OK","FALHA"),IF(L29=K29,"OK","FALHA"))</f>
      </c>
    </row>
    <row r="30">
      <c r="A30" s="0" t="inlineStr">
        <is>
          <t xml:space="preserve">Semáforo pistão</t>
        </is>
      </c>
      <c r="E30" s="3" t="inlineStr">
        <is>
          <t xml:space="preserve">AMARELO</t>
        </is>
      </c>
      <c r="F30" s="3">
        <f>Cadeia!D76</f>
      </c>
      <c r="G30" s="3">
        <f>IF(ISNUMBER(E30),IF(ABS(F30/E30-1)&lt;=0.01,"OK","FALHA"),IF(F30=E30,"OK","FALHA"))</f>
      </c>
      <c r="H30" s="3" t="inlineStr">
        <is>
          <t xml:space="preserve">VERDE</t>
        </is>
      </c>
      <c r="I30" s="3">
        <f>Cadeia!E76</f>
      </c>
      <c r="J30" s="3">
        <f>IF(ISNUMBER(H30),IF(ABS(I30/H30-1)&lt;=0.01,"OK","FALHA"),IF(I30=H30,"OK","FALHA"))</f>
      </c>
      <c r="K30" s="3" t="inlineStr">
        <is>
          <t xml:space="preserve">VERDE</t>
        </is>
      </c>
      <c r="L30" s="3">
        <f>Cadeia!F76</f>
      </c>
      <c r="M30" s="3">
        <f>IF(ISNUMBER(K30),IF(ABS(L30/K30-1)&lt;=0.01,"OK","FALHA"),IF(L30=K30,"OK","FALHA"))</f>
      </c>
    </row>
    <row r="31">
      <c r="A31" s="0" t="inlineStr">
        <is>
          <t xml:space="preserve">Semáforo aspirado (600 m)</t>
        </is>
      </c>
      <c r="K31" s="3" t="inlineStr">
        <is>
          <t xml:space="preserve">VERMELHO</t>
        </is>
      </c>
      <c r="L31" s="3">
        <f>Cadeia!F77</f>
      </c>
      <c r="M31" s="3">
        <f>IF(ISNUMBER(K31),IF(ABS(L31/K31-1)&lt;=0.01,"OK","FALHA"),IF(L31=K31,"OK","FALHA"))</f>
      </c>
    </row>
    <row r="33">
      <c r="A33" s="8" t="inlineStr">
        <is>
          <t xml:space="preserve">Resultado</t>
        </is>
      </c>
      <c r="B33" s="0">
        <f>IF(COUNTIF(B4:M31,"FALHA")=0,"TODOS OK","HÁ FALHAS")</f>
      </c>
      <c r="C33" s="0">
        <f>COUNTIF(B4:M31,"OK")&amp;" OK / "&amp;COUNTIF(B4:M31,"FALHA")&amp;" FALHA"</f>
      </c>
    </row>
  </sheetData>
</worksheet>
</file>