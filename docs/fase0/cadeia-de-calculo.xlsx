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eia-me" sheetId="1" r:id="rId1"/>
    <sheet name="Cadeia" sheetId="2" r:id="rId2"/>
    <sheet name="Combustiveis" sheetId="3" r:id="rId3"/>
    <sheet name="Exemplo_documento" sheetId="4" r:id="rId4"/>
  </sheets>
  <calcPr calcId="0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sz val="11"/>
      <name val="Calibri"/>
    </font>
    <font>
      <b/>
      <sz val="11"/>
      <name val="Calibri"/>
    </font>
    <font>
      <b/>
      <sz val="14"/>
      <name val="Calibri"/>
    </font>
    <font>
      <i/>
      <sz val="10"/>
      <color rgb="FF555555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D9D9D9"/>
      </patternFill>
    </fill>
  </fills>
  <borders count="1">
    <border/>
  </borders>
  <cellStyleXfs count="1">
    <xf/>
  </cellStyleXfs>
  <cellXfs count="10">
    <xf/>
    <xf fontId="1" fillId="5" applyFont="1" applyFill="1"/>
    <xf numFmtId="164" fillId="2" applyFill="1" applyNumberFormat="1"/>
    <xf numFmtId="164" fillId="3" applyFill="1" applyNumberFormat="1"/>
    <xf numFmtId="10" fillId="2" applyFill="1" applyNumberFormat="1"/>
    <xf numFmtId="10" fillId="3" applyFill="1" applyNumberFormat="1"/>
    <xf fontId="2" applyFont="1"/>
    <xf fontId="1" applyFont="1"/>
    <xf fontId="1" fillId="4" applyFont="1" applyFill="1"/>
    <xf fontId="3" applyFont="1">
      <alignment wrapText="1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9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110" customWidth="1"/>
  </cols>
  <sheetData>
    <row r="1">
      <c r="A1" s="6" t="inlineStr">
        <is>
          <t xml:space="preserve">Cadeia de cálculo do mapa base - fase 0</t>
        </is>
      </c>
    </row>
    <row r="3">
      <c r="A3" s="0" t="inlineStr">
        <is>
          <t xml:space="preserve">Objetivo: conferir as fórmulas antes de escrevê-las em Java (módulo calculo).</t>
        </is>
      </c>
    </row>
    <row r="4">
      <c r="A4" s="0" t="inlineStr">
        <is>
          <t xml:space="preserve">Células amarelas = entradas. Células azuis = cálculos (não editar). Linha verde = conferência.</t>
        </is>
      </c>
    </row>
    <row r="5">
      <c r="A5" s="0" t="inlineStr">
        <is>
          <t xml:space="preserve">Aba Cadeia: coluna C reproduz o exemplo da Garrett (Turbo Tech 103). Colunas D-F são os três motores de referência.</t>
        </is>
      </c>
    </row>
    <row r="6">
      <c r="A6" s="0" t="inlineStr">
        <is>
          <t xml:space="preserve">Aba Combustiveis: valores por combustível com fonte, data e status. "Não verificado" = conferir antes de usar.</t>
        </is>
      </c>
    </row>
    <row r="7">
      <c r="A7" s="0" t="inlineStr">
        <is>
          <t xml:space="preserve">Aba Exemplo_documento: preencher com o exemplo resolvido do documento do projeto e comparar com a coluna correspondente.</t>
        </is>
      </c>
    </row>
    <row r="9">
      <c r="A9" s="7" t="inlineStr">
        <is>
          <t xml:space="preserve">Fórmulas usadas (Garrett, unidades inglesas)</t>
        </is>
      </c>
    </row>
    <row r="10">
      <c r="A10" s="0" t="inlineStr">
        <is>
          <t xml:space="preserve">Vazão de ar  Wa [lb/min] = HP x AFR x BSFC / 60</t>
        </is>
      </c>
    </row>
    <row r="11">
      <c r="A11" s="0" t="inlineStr">
        <is>
          <t xml:space="preserve">MAP [psia] = Wa x R x (460 + Tm[°F]) / (VE x N/2 x Vd[in³]),  R = 639,6</t>
        </is>
      </c>
    </row>
    <row r="12">
      <c r="A12" s="0" t="inlineStr">
        <is>
          <t xml:space="preserve">Razão de pressão = (MAP + perda na descarga) / (p atm - perda na admissão)</t>
        </is>
      </c>
    </row>
    <row r="13">
      <c r="A13" s="0" t="inlineStr">
        <is>
          <t xml:space="preserve">Combustível [lb/h] = HP x BSFC;  vazão do injetor corrigida = vazão nominal x raiz(p trabalho / p teste)</t>
        </is>
      </c>
    </row>
    <row r="14">
      <c r="A14" s="0" t="inlineStr">
        <is>
          <t xml:space="preserve">Tempo de injeção na potência máxima [ms] = uso do injetor x 120000 / rpm  (sem tempo morto)</t>
        </is>
      </c>
    </row>
    <row r="16">
      <c r="A16" s="7" t="inlineStr">
        <is>
          <t xml:space="preserve">Aviso</t>
        </is>
      </c>
    </row>
    <row r="17">
      <c r="A17" s="0" t="inlineStr">
        <is>
          <t xml:space="preserve">Valores dos motores D-F são EXEMPLOS para testar a cadeia; não são recomendação de acerto. Mapa base sempre abaixo da meta e acerto com wideband.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/>
  </sheetViews>
  <cols>
    <col min="1" max="1" width="42" customWidth="1"/>
    <col min="2" max="2" width="12" customWidth="1"/>
    <col min="3" max="3" width="22" customWidth="1"/>
    <col min="4" max="4" width="16" customWidth="1"/>
    <col min="5" max="5" width="18" customWidth="1"/>
    <col min="6" max="6" width="18" customWidth="1"/>
    <col min="7" max="7" width="44" customWidth="1"/>
  </cols>
  <sheetData>
    <row r="1">
      <c r="A1" s="6" t="inlineStr">
        <is>
          <t xml:space="preserve">Cadeia de cálculo - potência alvo até injetor</t>
        </is>
      </c>
    </row>
    <row r="2">
      <c r="A2" s="9" t="inlineStr">
        <is>
          <t xml:space="preserve">Coluna C = exemplo Garrett Turbo Tech 103 (2,0 L, 400 hp). D-F = motores de referência com valores de EXEMPLO.</t>
        </is>
      </c>
    </row>
    <row r="3">
      <c r="A3" s="1" t="inlineStr">
        <is>
          <t xml:space="preserve">Item</t>
        </is>
      </c>
      <c r="B3" s="1" t="inlineStr">
        <is>
          <t xml:space="preserve">Unidade</t>
        </is>
      </c>
      <c r="C3" s="0" t="inlineStr">
        <is>
          <t xml:space="preserve">Garrett TT103</t>
        </is>
      </c>
      <c r="D3" s="0" t="inlineStr">
        <is>
          <t xml:space="preserve">AP 2.0 turbo</t>
        </is>
      </c>
      <c r="E3" s="0" t="inlineStr">
        <is>
          <t xml:space="preserve">EA888 2.0 (gen3)</t>
        </is>
      </c>
      <c r="F3" s="0" t="inlineStr">
        <is>
          <t xml:space="preserve">V8 5.0 (modelo)</t>
        </is>
      </c>
      <c r="G3" s="9" t="inlineStr">
        <is>
          <t xml:space="preserve">Observação</t>
        </is>
      </c>
    </row>
    <row r="4">
      <c r="A4" s="7" t="inlineStr">
        <is>
          <t xml:space="preserve">ENTRADAS</t>
        </is>
      </c>
    </row>
    <row r="5">
      <c r="A5" s="0" t="inlineStr">
        <is>
          <t xml:space="preserve">Combustível</t>
        </is>
      </c>
      <c r="B5" s="0" t="inlineStr">
        <is>
          <t xml:space="preserve">-</t>
        </is>
      </c>
      <c r="C5" s="0" t="inlineStr">
        <is>
          <t xml:space="preserve">Gasolina (exemplo Garrett)</t>
        </is>
      </c>
      <c r="D5" s="0" t="inlineStr">
        <is>
          <t xml:space="preserve">EHC</t>
        </is>
      </c>
      <c r="E5" s="0" t="inlineStr">
        <is>
          <t xml:space="preserve">Gasolina C E32</t>
        </is>
      </c>
      <c r="F5" s="0" t="inlineStr">
        <is>
          <t xml:space="preserve">Gasolina C E32</t>
        </is>
      </c>
    </row>
    <row r="6">
      <c r="A6" s="0" t="inlineStr">
        <is>
          <t xml:space="preserve">AFR estequiométrico</t>
        </is>
      </c>
      <c r="B6" s="0" t="inlineStr">
        <is>
          <t xml:space="preserve">:1</t>
        </is>
      </c>
      <c r="C6" s="3">
        <v>14.7</v>
      </c>
      <c r="D6" s="3">
        <f>Combustiveis!D15</f>
      </c>
      <c r="E6" s="3">
        <f>Combustiveis!D12</f>
      </c>
      <c r="F6" s="3">
        <f>Combustiveis!D12</f>
      </c>
      <c r="G6" s="9" t="inlineStr">
        <is>
          <t xml:space="preserve">Vem da aba Combustiveis</t>
        </is>
      </c>
    </row>
    <row r="7">
      <c r="A7" s="0" t="inlineStr">
        <is>
          <t xml:space="preserve">Lambda alvo na potência máxima</t>
        </is>
      </c>
      <c r="B7" s="0" t="inlineStr">
        <is>
          <t xml:space="preserve">λ</t>
        </is>
      </c>
      <c r="C7" s="2">
        <f>12/14.7</f>
      </c>
      <c r="D7" s="2">
        <v>0.8</v>
      </c>
      <c r="E7" s="2">
        <v>0.82</v>
      </c>
      <c r="F7" s="2">
        <v>0.82</v>
      </c>
      <c r="G7" s="9" t="inlineStr">
        <is>
          <t xml:space="preserve">Garrett usa AFR 12 em gasolina</t>
        </is>
      </c>
    </row>
    <row r="8">
      <c r="A8" s="0" t="inlineStr">
        <is>
          <t xml:space="preserve">Potência alvo no virabrequim</t>
        </is>
      </c>
      <c r="B8" s="0" t="inlineStr">
        <is>
          <t xml:space="preserve">hp</t>
        </is>
      </c>
      <c r="C8" s="2">
        <v>400</v>
      </c>
      <c r="D8" s="2">
        <v>300</v>
      </c>
      <c r="E8" s="2">
        <v>380</v>
      </c>
      <c r="F8" s="2">
        <v>500</v>
      </c>
    </row>
    <row r="9">
      <c r="A9" s="0" t="inlineStr">
        <is>
          <t xml:space="preserve">BSFC</t>
        </is>
      </c>
      <c r="B9" s="0" t="inlineStr">
        <is>
          <t xml:space="preserve">lb/hp·h</t>
        </is>
      </c>
      <c r="C9" s="2">
        <v>0.55</v>
      </c>
      <c r="D9" s="2">
        <v>0.75</v>
      </c>
      <c r="E9" s="2">
        <v>0.55</v>
      </c>
      <c r="F9" s="2">
        <v>0.5</v>
      </c>
      <c r="G9" s="9" t="inlineStr">
        <is>
          <t xml:space="preserve">Etanol gasta mais massa por hp</t>
        </is>
      </c>
    </row>
    <row r="10">
      <c r="A10" s="0" t="inlineStr">
        <is>
          <t xml:space="preserve">Cilindrada</t>
        </is>
      </c>
      <c r="B10" s="0" t="inlineStr">
        <is>
          <t xml:space="preserve">L</t>
        </is>
      </c>
      <c r="C10" s="2">
        <f>122*0.016387</f>
      </c>
      <c r="D10" s="2">
        <v>1.984</v>
      </c>
      <c r="E10" s="2">
        <v>1.984</v>
      </c>
      <c r="F10" s="2">
        <v>5</v>
      </c>
      <c r="G10" s="9" t="inlineStr">
        <is>
          <t xml:space="preserve">EA888: 1984 cm³ (SSP 606)</t>
        </is>
      </c>
    </row>
    <row r="11">
      <c r="A11" s="0" t="inlineStr">
        <is>
          <t xml:space="preserve">Número de cilindros</t>
        </is>
      </c>
      <c r="B11" s="0" t="inlineStr">
        <is>
          <t xml:space="preserve">-</t>
        </is>
      </c>
      <c r="C11" s="2">
        <v>4</v>
      </c>
      <c r="D11" s="2">
        <v>4</v>
      </c>
      <c r="E11" s="2">
        <v>4</v>
      </c>
      <c r="F11" s="2">
        <v>8</v>
      </c>
    </row>
    <row r="12">
      <c r="A12" s="0" t="inlineStr">
        <is>
          <t xml:space="preserve">Rotação na potência máxima</t>
        </is>
      </c>
      <c r="B12" s="0" t="inlineStr">
        <is>
          <t xml:space="preserve">rpm</t>
        </is>
      </c>
      <c r="C12" s="2">
        <v>7200</v>
      </c>
      <c r="D12" s="2">
        <v>6500</v>
      </c>
      <c r="E12" s="2">
        <v>6500</v>
      </c>
      <c r="F12" s="2">
        <v>7000</v>
      </c>
    </row>
    <row r="13">
      <c r="A13" s="0" t="inlineStr">
        <is>
          <t xml:space="preserve">Eficiência volumétrica</t>
        </is>
      </c>
      <c r="B13" s="0" t="inlineStr">
        <is>
          <t xml:space="preserve">-</t>
        </is>
      </c>
      <c r="C13" s="2">
        <v>0.95</v>
      </c>
      <c r="D13" s="2">
        <v>0.9</v>
      </c>
      <c r="E13" s="2">
        <v>0.95</v>
      </c>
      <c r="F13" s="2">
        <v>0.95</v>
      </c>
    </row>
    <row r="14">
      <c r="A14" s="0" t="inlineStr">
        <is>
          <t xml:space="preserve">Temperatura no coletor</t>
        </is>
      </c>
      <c r="B14" s="0" t="inlineStr">
        <is>
          <t xml:space="preserve">°C</t>
        </is>
      </c>
      <c r="C14" s="2">
        <f>(130-32)*5/9</f>
      </c>
      <c r="D14" s="2">
        <v>50</v>
      </c>
      <c r="E14" s="2">
        <v>45</v>
      </c>
      <c r="F14" s="2">
        <v>50</v>
      </c>
      <c r="G14" s="9" t="inlineStr">
        <is>
          <t xml:space="preserve">Garrett: 130 °F</t>
        </is>
      </c>
    </row>
    <row r="15">
      <c r="A15" s="0" t="inlineStr">
        <is>
          <t xml:space="preserve">Perda entre compressor e coletor</t>
        </is>
      </c>
      <c r="B15" s="0" t="inlineStr">
        <is>
          <t xml:space="preserve">psi</t>
        </is>
      </c>
      <c r="C15" s="2">
        <v>2</v>
      </c>
      <c r="D15" s="2">
        <v>2</v>
      </c>
      <c r="E15" s="2">
        <v>2</v>
      </c>
      <c r="F15" s="2">
        <v>2</v>
      </c>
      <c r="G15" s="9" t="inlineStr">
        <is>
          <t xml:space="preserve">Intercooler e tubos</t>
        </is>
      </c>
    </row>
    <row r="16">
      <c r="A16" s="0" t="inlineStr">
        <is>
          <t xml:space="preserve">Perda antes do compressor</t>
        </is>
      </c>
      <c r="B16" s="0" t="inlineStr">
        <is>
          <t xml:space="preserve">psi</t>
        </is>
      </c>
      <c r="C16" s="2">
        <v>1</v>
      </c>
      <c r="D16" s="2">
        <v>1</v>
      </c>
      <c r="E16" s="2">
        <v>1</v>
      </c>
      <c r="F16" s="2">
        <v>1</v>
      </c>
      <c r="G16" s="9" t="inlineStr">
        <is>
          <t xml:space="preserve">Filtro e tubo de admissão</t>
        </is>
      </c>
    </row>
    <row r="17">
      <c r="A17" s="0" t="inlineStr">
        <is>
          <t xml:space="preserve">Pressão atmosférica</t>
        </is>
      </c>
      <c r="B17" s="0" t="inlineStr">
        <is>
          <t xml:space="preserve">psia</t>
        </is>
      </c>
      <c r="C17" s="2">
        <v>14.7</v>
      </c>
      <c r="D17" s="2">
        <v>14.7</v>
      </c>
      <c r="E17" s="2">
        <v>14.7</v>
      </c>
      <c r="F17" s="2">
        <v>14.7</v>
      </c>
      <c r="G17" s="9" t="inlineStr">
        <is>
          <t xml:space="preserve">Ajustar pela altitude da oficina</t>
        </is>
      </c>
    </row>
    <row r="18">
      <c r="A18" s="0" t="inlineStr">
        <is>
          <t xml:space="preserve">Densidade do combustível</t>
        </is>
      </c>
      <c r="B18" s="0" t="inlineStr">
        <is>
          <t xml:space="preserve">g/cm³</t>
        </is>
      </c>
      <c r="C18" s="2">
        <v>0.745</v>
      </c>
      <c r="D18" s="2">
        <f>Combustiveis!E15</f>
      </c>
      <c r="E18" s="2">
        <f>Combustiveis!E12</f>
      </c>
      <c r="F18" s="2">
        <f>Combustiveis!E12</f>
      </c>
    </row>
    <row r="19">
      <c r="A19" s="0" t="inlineStr">
        <is>
          <t xml:space="preserve">Vazão nominal do injetor</t>
        </is>
      </c>
      <c r="B19" s="0" t="inlineStr">
        <is>
          <t xml:space="preserve">cm³/min</t>
        </is>
      </c>
      <c r="C19" s="2">
        <v>700</v>
      </c>
      <c r="D19" s="2">
        <v>1000</v>
      </c>
      <c r="E19" s="2">
        <v>650</v>
      </c>
      <c r="F19" s="2">
        <v>550</v>
      </c>
      <c r="G19" s="9" t="inlineStr">
        <is>
          <t xml:space="preserve">Usar dado de caracterização do fabricante. Garrett não define injetor: 700 é escolha nossa</t>
        </is>
      </c>
    </row>
    <row r="20">
      <c r="A20" s="0" t="inlineStr">
        <is>
          <t xml:space="preserve">Pressão de teste do injetor</t>
        </is>
      </c>
      <c r="B20" s="0" t="inlineStr">
        <is>
          <t xml:space="preserve">bar</t>
        </is>
      </c>
      <c r="C20" s="2">
        <v>3</v>
      </c>
      <c r="D20" s="2">
        <v>3</v>
      </c>
      <c r="E20" s="2">
        <v>3</v>
      </c>
      <c r="F20" s="2">
        <v>3</v>
      </c>
    </row>
    <row r="21">
      <c r="A21" s="0" t="inlineStr">
        <is>
          <t xml:space="preserve">Pressão de trabalho (diferencial no bico)</t>
        </is>
      </c>
      <c r="B21" s="0" t="inlineStr">
        <is>
          <t xml:space="preserve">bar</t>
        </is>
      </c>
      <c r="C21" s="2">
        <v>3</v>
      </c>
      <c r="D21" s="2">
        <v>4</v>
      </c>
      <c r="E21" s="2">
        <v>3.5</v>
      </c>
      <c r="F21" s="2">
        <v>4</v>
      </c>
      <c r="G21" s="9" t="inlineStr">
        <is>
          <t xml:space="preserve">Regulador referenciado ao coletor</t>
        </is>
      </c>
    </row>
    <row r="22">
      <c r="A22" s="0" t="inlineStr">
        <is>
          <t xml:space="preserve">Uso máximo admitido do injetor</t>
        </is>
      </c>
      <c r="B22" s="0" t="inlineStr">
        <is>
          <t xml:space="preserve">%</t>
        </is>
      </c>
      <c r="C22" s="4">
        <v>0.85</v>
      </c>
      <c r="D22" s="4">
        <v>0.85</v>
      </c>
      <c r="E22" s="4">
        <v>0.85</v>
      </c>
      <c r="F22" s="4">
        <v>0.85</v>
      </c>
    </row>
    <row r="24">
      <c r="A24" s="7" t="inlineStr">
        <is>
          <t xml:space="preserve">CÁLCULOS</t>
        </is>
      </c>
    </row>
    <row r="25">
      <c r="A25" s="0" t="inlineStr">
        <is>
          <t xml:space="preserve">AFR alvo</t>
        </is>
      </c>
      <c r="B25" s="0" t="inlineStr">
        <is>
          <t xml:space="preserve">:1</t>
        </is>
      </c>
      <c r="C25" s="3">
        <f>C6*C7</f>
      </c>
      <c r="D25" s="3">
        <f>D6*D7</f>
      </c>
      <c r="E25" s="3">
        <f>E6*E7</f>
      </c>
      <c r="F25" s="3">
        <f>F6*F7</f>
      </c>
    </row>
    <row r="26">
      <c r="A26" s="0" t="inlineStr">
        <is>
          <t xml:space="preserve">Potência alvo</t>
        </is>
      </c>
      <c r="B26" s="0" t="inlineStr">
        <is>
          <t xml:space="preserve">cv</t>
        </is>
      </c>
      <c r="C26" s="3">
        <f>C8*1.01387</f>
      </c>
      <c r="D26" s="3">
        <f>D8*1.01387</f>
      </c>
      <c r="E26" s="3">
        <f>E8*1.01387</f>
      </c>
      <c r="F26" s="3">
        <f>F8*1.01387</f>
      </c>
    </row>
    <row r="27">
      <c r="A27" s="0" t="inlineStr">
        <is>
          <t xml:space="preserve">Vazão de ar Wa</t>
        </is>
      </c>
      <c r="B27" s="0" t="inlineStr">
        <is>
          <t xml:space="preserve">lb/min</t>
        </is>
      </c>
      <c r="C27" s="3">
        <f>C8*C25*C9/60</f>
      </c>
      <c r="D27" s="3">
        <f>D8*D25*D9/60</f>
      </c>
      <c r="E27" s="3">
        <f>E8*E25*E9/60</f>
      </c>
      <c r="F27" s="3">
        <f>F8*F25*F9/60</f>
      </c>
      <c r="G27" s="9" t="inlineStr">
        <is>
          <t xml:space="preserve">HP x AFR x BSFC / 60</t>
        </is>
      </c>
    </row>
    <row r="28">
      <c r="A28" s="0" t="inlineStr">
        <is>
          <t xml:space="preserve">Vazão de ar</t>
        </is>
      </c>
      <c r="B28" s="0" t="inlineStr">
        <is>
          <t xml:space="preserve">kg/h</t>
        </is>
      </c>
      <c r="C28" s="3">
        <f>C27*0.45359*60</f>
      </c>
      <c r="D28" s="3">
        <f>D27*0.45359*60</f>
      </c>
      <c r="E28" s="3">
        <f>E27*0.45359*60</f>
      </c>
      <c r="F28" s="3">
        <f>F27*0.45359*60</f>
      </c>
    </row>
    <row r="29">
      <c r="A29" s="0" t="inlineStr">
        <is>
          <t xml:space="preserve">Cilindrada</t>
        </is>
      </c>
      <c r="B29" s="0" t="inlineStr">
        <is>
          <t xml:space="preserve">in³</t>
        </is>
      </c>
      <c r="C29" s="3">
        <f>C10/0.016387</f>
      </c>
      <c r="D29" s="3">
        <f>D10/0.016387</f>
      </c>
      <c r="E29" s="3">
        <f>E10/0.016387</f>
      </c>
      <c r="F29" s="3">
        <f>F10/0.016387</f>
      </c>
    </row>
    <row r="30">
      <c r="A30" s="0" t="inlineStr">
        <is>
          <t xml:space="preserve">Temperatura no coletor</t>
        </is>
      </c>
      <c r="B30" s="0" t="inlineStr">
        <is>
          <t xml:space="preserve">°F</t>
        </is>
      </c>
      <c r="C30" s="3">
        <f>C14*9/5+32</f>
      </c>
      <c r="D30" s="3">
        <f>D14*9/5+32</f>
      </c>
      <c r="E30" s="3">
        <f>E14*9/5+32</f>
      </c>
      <c r="F30" s="3">
        <f>F14*9/5+32</f>
      </c>
    </row>
    <row r="31">
      <c r="A31" s="0" t="inlineStr">
        <is>
          <t xml:space="preserve">MAP necessária</t>
        </is>
      </c>
      <c r="B31" s="0" t="inlineStr">
        <is>
          <t xml:space="preserve">psia</t>
        </is>
      </c>
      <c r="C31" s="3">
        <f>C27*639.6*(460+C30)/(C13*C12/2*C29)</f>
      </c>
      <c r="D31" s="3">
        <f>D27*639.6*(460+D30)/(D13*D12/2*D29)</f>
      </c>
      <c r="E31" s="3">
        <f>E27*639.6*(460+E30)/(E13*E12/2*E29)</f>
      </c>
      <c r="F31" s="3">
        <f>F27*639.6*(460+F30)/(F13*F12/2*F29)</f>
      </c>
      <c r="G31" s="9" t="inlineStr">
        <is>
          <t xml:space="preserve">R = 639,6</t>
        </is>
      </c>
    </row>
    <row r="32">
      <c r="A32" s="0" t="inlineStr">
        <is>
          <t xml:space="preserve">MAP necessária</t>
        </is>
      </c>
      <c r="B32" s="0" t="inlineStr">
        <is>
          <t xml:space="preserve">bar abs</t>
        </is>
      </c>
      <c r="C32" s="3">
        <f>C31*0.0689476</f>
      </c>
      <c r="D32" s="3">
        <f>D31*0.0689476</f>
      </c>
      <c r="E32" s="3">
        <f>E31*0.0689476</f>
      </c>
      <c r="F32" s="3">
        <f>F31*0.0689476</f>
      </c>
    </row>
    <row r="33">
      <c r="A33" s="0" t="inlineStr">
        <is>
          <t xml:space="preserve">Pressão de turbo (manométrica)</t>
        </is>
      </c>
      <c r="B33" s="0" t="inlineStr">
        <is>
          <t xml:space="preserve">bar</t>
        </is>
      </c>
      <c r="C33" s="3">
        <f>(C31-C17)*0.0689476</f>
      </c>
      <c r="D33" s="3">
        <f>(D31-D17)*0.0689476</f>
      </c>
      <c r="E33" s="3">
        <f>(E31-E17)*0.0689476</f>
      </c>
      <c r="F33" s="3">
        <f>(F31-F17)*0.0689476</f>
      </c>
    </row>
    <row r="34">
      <c r="A34" s="0" t="inlineStr">
        <is>
          <t xml:space="preserve">Pressão na saída do compressor P2c</t>
        </is>
      </c>
      <c r="B34" s="0" t="inlineStr">
        <is>
          <t xml:space="preserve">psia</t>
        </is>
      </c>
      <c r="C34" s="3">
        <f>C31+C15</f>
      </c>
      <c r="D34" s="3">
        <f>D31+D15</f>
      </c>
      <c r="E34" s="3">
        <f>E31+E15</f>
      </c>
      <c r="F34" s="3">
        <f>F31+F15</f>
      </c>
    </row>
    <row r="35">
      <c r="A35" s="0" t="inlineStr">
        <is>
          <t xml:space="preserve">Pressão na entrada do compressor P1c</t>
        </is>
      </c>
      <c r="B35" s="0" t="inlineStr">
        <is>
          <t xml:space="preserve">psia</t>
        </is>
      </c>
      <c r="C35" s="3">
        <f>C17-C16</f>
      </c>
      <c r="D35" s="3">
        <f>D17-D16</f>
      </c>
      <c r="E35" s="3">
        <f>E17-E16</f>
      </c>
      <c r="F35" s="3">
        <f>F17-F16</f>
      </c>
    </row>
    <row r="36">
      <c r="A36" s="0" t="inlineStr">
        <is>
          <t xml:space="preserve">Razão de pressão do compressor</t>
        </is>
      </c>
      <c r="B36" s="0" t="inlineStr">
        <is>
          <t xml:space="preserve">-</t>
        </is>
      </c>
      <c r="C36" s="3">
        <f>C34/C35</f>
      </c>
      <c r="D36" s="3">
        <f>D34/D35</f>
      </c>
      <c r="E36" s="3">
        <f>E34/E35</f>
      </c>
      <c r="F36" s="3">
        <f>F34/F35</f>
      </c>
      <c r="G36" s="9" t="inlineStr">
        <is>
          <t xml:space="preserve">Ponto no mapa do compressor: (Wa, PR)</t>
        </is>
      </c>
    </row>
    <row r="37">
      <c r="A37" s="0" t="inlineStr">
        <is>
          <t xml:space="preserve">Vazão total de combustível</t>
        </is>
      </c>
      <c r="B37" s="0" t="inlineStr">
        <is>
          <t xml:space="preserve">lb/h</t>
        </is>
      </c>
      <c r="C37" s="3">
        <f>C8*C9</f>
      </c>
      <c r="D37" s="3">
        <f>D8*D9</f>
      </c>
      <c r="E37" s="3">
        <f>E8*E9</f>
      </c>
      <c r="F37" s="3">
        <f>F8*F9</f>
      </c>
      <c r="G37" s="9" t="inlineStr">
        <is>
          <t xml:space="preserve">HP x BSFC</t>
        </is>
      </c>
    </row>
    <row r="38">
      <c r="A38" s="0" t="inlineStr">
        <is>
          <t xml:space="preserve">Vazão total de combustível</t>
        </is>
      </c>
      <c r="B38" s="0" t="inlineStr">
        <is>
          <t xml:space="preserve">cm³/min</t>
        </is>
      </c>
      <c r="C38" s="3">
        <f>C37*453.59/60/C18</f>
      </c>
      <c r="D38" s="3">
        <f>D37*453.59/60/D18</f>
      </c>
      <c r="E38" s="3">
        <f>E37*453.59/60/E18</f>
      </c>
      <c r="F38" s="3">
        <f>F37*453.59/60/F18</f>
      </c>
    </row>
    <row r="39">
      <c r="A39" s="0" t="inlineStr">
        <is>
          <t xml:space="preserve">Vazão mínima por injetor (no uso máx.)</t>
        </is>
      </c>
      <c r="B39" s="0" t="inlineStr">
        <is>
          <t xml:space="preserve">cm³/min</t>
        </is>
      </c>
      <c r="C39" s="3">
        <f>C38/C11/C22</f>
      </c>
      <c r="D39" s="3">
        <f>D38/D11/D22</f>
      </c>
      <c r="E39" s="3">
        <f>E38/E11/E22</f>
      </c>
      <c r="F39" s="3">
        <f>F38/F11/F22</f>
      </c>
    </row>
    <row r="40">
      <c r="A40" s="0" t="inlineStr">
        <is>
          <t xml:space="preserve">Vazão do injetor na pressão de trabalho</t>
        </is>
      </c>
      <c r="B40" s="0" t="inlineStr">
        <is>
          <t xml:space="preserve">cm³/min</t>
        </is>
      </c>
      <c r="C40" s="3">
        <f>C19*SQRT(C21/C20)</f>
      </c>
      <c r="D40" s="3">
        <f>D19*SQRT(D21/D20)</f>
      </c>
      <c r="E40" s="3">
        <f>E19*SQRT(E21/E20)</f>
      </c>
      <c r="F40" s="3">
        <f>F19*SQRT(F21/F20)</f>
      </c>
    </row>
    <row r="41">
      <c r="A41" s="0" t="inlineStr">
        <is>
          <t xml:space="preserve">Uso do injetor na potência máxima</t>
        </is>
      </c>
      <c r="B41" s="0" t="inlineStr">
        <is>
          <t xml:space="preserve">%</t>
        </is>
      </c>
      <c r="C41" s="5">
        <f>C38/C11/C40</f>
      </c>
      <c r="D41" s="5">
        <f>D38/D11/D40</f>
      </c>
      <c r="E41" s="5">
        <f>E38/E11/E40</f>
      </c>
      <c r="F41" s="5">
        <f>F38/F11/F40</f>
      </c>
      <c r="G41" s="9" t="inlineStr">
        <is>
          <t xml:space="preserve">Acima do limite = trocar injetor</t>
        </is>
      </c>
    </row>
    <row r="42">
      <c r="A42" s="0" t="inlineStr">
        <is>
          <t xml:space="preserve">Tempo de injeção efetivo</t>
        </is>
      </c>
      <c r="B42" s="0" t="inlineStr">
        <is>
          <t xml:space="preserve">ms</t>
        </is>
      </c>
      <c r="C42" s="3">
        <f>C41*120000/C12</f>
      </c>
      <c r="D42" s="3">
        <f>D41*120000/D12</f>
      </c>
      <c r="E42" s="3">
        <f>E41*120000/E12</f>
      </c>
      <c r="F42" s="3">
        <f>F41*120000/F12</f>
      </c>
      <c r="G42" s="9" t="inlineStr">
        <is>
          <t xml:space="preserve">Somar o tempo morto para o tempo comandado</t>
        </is>
      </c>
    </row>
    <row r="43">
      <c r="A43" s="0" t="inlineStr">
        <is>
          <t xml:space="preserve">Injetor atende?</t>
        </is>
      </c>
      <c r="B43" s="0" t="inlineStr">
        <is>
          <t xml:space="preserve">-</t>
        </is>
      </c>
      <c r="C43" s="0">
        <f>IF(C41&lt;=C22,"SIM","NÃO")</f>
      </c>
      <c r="D43" s="0">
        <f>IF(D41&lt;=D22,"SIM","NÃO")</f>
      </c>
      <c r="E43" s="0">
        <f>IF(E41&lt;=E22,"SIM","NÃO")</f>
      </c>
      <c r="F43" s="0">
        <f>IF(F41&lt;=F22,"SIM","NÃO")</f>
      </c>
    </row>
    <row r="45">
      <c r="A45" s="8" t="inlineStr">
        <is>
          <t xml:space="preserve">Conferência Garrett</t>
        </is>
      </c>
      <c r="B45" s="8" t="inlineStr">
        <is>
          <t xml:space="preserve">-</t>
        </is>
      </c>
      <c r="C45" s="0">
        <f>IF(AND(ABS(C27-44)&lt;0.05,ABS(C31-39.8)&lt;0.1,ABS(C36-3.05)&lt;0.02),"OK - bate com a Garrett","CONFERIR")</f>
      </c>
      <c r="G45" s="9" t="inlineStr">
        <is>
          <t xml:space="preserve">Garrett: Wa = 44 lb/min, MAP = 39,8 psia, PR = 3,05</t>
        </is>
      </c>
    </row>
  </sheetData>
</worksheet>
</file>

<file path=xl/worksheets/sheet3.xml><?xml version="1.0" encoding="utf-8"?>
<worksheet xmlns="http://schemas.openxmlformats.org/spreadsheetml/2006/main">
  <sheetViews>
    <sheetView workbookViewId="0"/>
  </sheetViews>
  <cols>
    <col min="1" max="1" width="44" customWidth="1"/>
    <col min="2" max="2" width="14" customWidth="1"/>
    <col min="3" max="3" width="20" customWidth="1"/>
    <col min="4" max="4" width="12" customWidth="1"/>
    <col min="5" max="5" width="16" customWidth="1"/>
    <col min="6" max="6" width="52" customWidth="1"/>
    <col min="7" max="7" width="12" customWidth="1"/>
    <col min="8" max="8" width="34" customWidth="1"/>
  </cols>
  <sheetData>
    <row r="1">
      <c r="A1" s="6" t="inlineStr">
        <is>
          <t xml:space="preserve">Combustíveis</t>
        </is>
      </c>
    </row>
    <row r="2">
      <c r="A2" s="9" t="inlineStr">
        <is>
          <t xml:space="preserve">Constantes (entradas)</t>
        </is>
      </c>
      <c r="C2" s="0" t="inlineStr">
        <is>
          <t xml:space="preserve">Unidade</t>
        </is>
      </c>
      <c r="D2" s="0" t="inlineStr">
        <is>
          <t xml:space="preserve">Fonte</t>
        </is>
      </c>
      <c r="E2" s="0" t="inlineStr">
        <is>
          <t xml:space="preserve">Status</t>
        </is>
      </c>
    </row>
    <row r="3">
      <c r="A3" s="0" t="inlineStr">
        <is>
          <t xml:space="preserve">AFR estequiométrico gasolina A (sem etanol)</t>
        </is>
      </c>
      <c r="B3" s="0">
        <v>14.7</v>
      </c>
      <c r="C3" s="2" t="inlineStr">
        <is>
          <t xml:space="preserve">kg ar/kg</t>
        </is>
      </c>
      <c r="D3" s="2" t="inlineStr">
        <is>
          <t xml:space="preserve">Literatura (valor usual 14,6-14,7)</t>
        </is>
      </c>
      <c r="E3" s="2" t="inlineStr">
        <is>
          <t xml:space="preserve">Não verificado</t>
        </is>
      </c>
    </row>
    <row r="4">
      <c r="A4" s="0" t="inlineStr">
        <is>
          <t xml:space="preserve">AFR estequiométrico etanol puro</t>
        </is>
      </c>
      <c r="B4" s="0">
        <v>9</v>
      </c>
      <c r="C4" s="2" t="inlineStr">
        <is>
          <t xml:space="preserve">kg ar/kg</t>
        </is>
      </c>
      <c r="D4" s="2" t="inlineStr">
        <is>
          <t xml:space="preserve">Literatura (8,95-9,0)</t>
        </is>
      </c>
      <c r="E4" s="2" t="inlineStr">
        <is>
          <t xml:space="preserve">Não verificado</t>
        </is>
      </c>
    </row>
    <row r="5">
      <c r="A5" s="0" t="inlineStr">
        <is>
          <t xml:space="preserve">Densidade gasolina A a 20 °C</t>
        </is>
      </c>
      <c r="B5" s="0">
        <v>0.745</v>
      </c>
      <c r="C5" s="2" t="inlineStr">
        <is>
          <t xml:space="preserve">g/cm³</t>
        </is>
      </c>
      <c r="D5" s="2" t="inlineStr">
        <is>
          <t xml:space="preserve">Literatura (faixa ~0,72-0,77)</t>
        </is>
      </c>
      <c r="E5" s="2" t="inlineStr">
        <is>
          <t xml:space="preserve">Não verificado</t>
        </is>
      </c>
    </row>
    <row r="6">
      <c r="A6" s="0" t="inlineStr">
        <is>
          <t xml:space="preserve">Densidade etanol anidro a 20 °C</t>
        </is>
      </c>
      <c r="B6" s="0">
        <v>0.791</v>
      </c>
      <c r="C6" s="2" t="inlineStr">
        <is>
          <t xml:space="preserve">g/cm³</t>
        </is>
      </c>
      <c r="D6" s="2" t="inlineStr">
        <is>
          <t xml:space="preserve">Literatura / Res. ANP 907/2022 (conferir anexo)</t>
        </is>
      </c>
      <c r="E6" s="2" t="inlineStr">
        <is>
          <t xml:space="preserve">Não verificado</t>
        </is>
      </c>
    </row>
    <row r="7">
      <c r="A7" s="0" t="inlineStr">
        <is>
          <t xml:space="preserve">Teor alcoólico do EHC (% massa)</t>
        </is>
      </c>
      <c r="B7" s="0">
        <v>0.93</v>
      </c>
      <c r="C7" s="4" t="inlineStr">
        <is>
          <t xml:space="preserve">% m/m</t>
        </is>
      </c>
      <c r="D7" s="4" t="inlineStr">
        <is>
          <t xml:space="preserve">Res. ANP 907/2022, Tabela 1 (conferir anexo)</t>
        </is>
      </c>
      <c r="E7" s="4" t="inlineStr">
        <is>
          <t xml:space="preserve">Não verificado</t>
        </is>
      </c>
    </row>
    <row r="8">
      <c r="A8" s="0" t="inlineStr">
        <is>
          <t xml:space="preserve">Densidade EHC a 20 °C</t>
        </is>
      </c>
      <c r="B8" s="0">
        <v>0.809</v>
      </c>
      <c r="C8" s="2" t="inlineStr">
        <is>
          <t xml:space="preserve">g/cm³</t>
        </is>
      </c>
      <c r="D8" s="2" t="inlineStr">
        <is>
          <t xml:space="preserve">Res. ANP 907/2022 (faixa citada 807,6-811,0 kg/m³)</t>
        </is>
      </c>
      <c r="E8" s="2" t="inlineStr">
        <is>
          <t xml:space="preserve">Não verificado</t>
        </is>
      </c>
    </row>
    <row r="10">
      <c r="A10" s="1" t="inlineStr">
        <is>
          <t xml:space="preserve">Combustível</t>
        </is>
      </c>
      <c r="B10" s="1" t="inlineStr">
        <is>
          <t xml:space="preserve">% etanol (vol)</t>
        </is>
      </c>
      <c r="C10" s="0" t="inlineStr">
        <is>
          <t xml:space="preserve">Fração mássica etanol</t>
        </is>
      </c>
      <c r="D10" s="0" t="inlineStr">
        <is>
          <t xml:space="preserve">AFR esteq.</t>
        </is>
      </c>
      <c r="E10" s="0" t="inlineStr">
        <is>
          <t xml:space="preserve">Densidade g/cm³</t>
        </is>
      </c>
      <c r="F10" s="0" t="inlineStr">
        <is>
          <t xml:space="preserve">Fonte</t>
        </is>
      </c>
      <c r="G10" s="9" t="inlineStr">
        <is>
          <t xml:space="preserve">Data</t>
        </is>
      </c>
      <c r="H10" s="9" t="inlineStr">
        <is>
          <t xml:space="preserve">Status</t>
        </is>
      </c>
    </row>
    <row r="11">
      <c r="A11" s="0" t="inlineStr">
        <is>
          <t xml:space="preserve">Gasolina A (sem etanol)</t>
        </is>
      </c>
      <c r="B11" s="0">
        <v>0</v>
      </c>
      <c r="C11" s="3">
        <f>B11*$B$6/(B11*$B$6+(1-B11)*$B$5)</f>
      </c>
      <c r="D11" s="3">
        <f>C11*$B$4+(1-C11)*$B$3</f>
      </c>
      <c r="E11" s="3">
        <f>B11*$B$6+(1-B11)*$B$5</f>
      </c>
      <c r="F11" s="3" t="inlineStr">
        <is>
          <t xml:space="preserve">Referência</t>
        </is>
      </c>
      <c r="H11" s="9" t="inlineStr">
        <is>
          <t xml:space="preserve">Não verificado</t>
        </is>
      </c>
    </row>
    <row r="12">
      <c r="A12" s="0" t="inlineStr">
        <is>
          <t xml:space="preserve">Gasolina C comum/aditivada (E32)</t>
        </is>
      </c>
      <c r="B12" s="0">
        <v>0.32</v>
      </c>
      <c r="C12" s="3">
        <f>B12*$B$6/(B12*$B$6+(1-B12)*$B$5)</f>
      </c>
      <c r="D12" s="3">
        <f>C12*$B$4+(1-C12)*$B$3</f>
      </c>
      <c r="E12" s="3">
        <f>B12*$B$6+(1-B12)*$B$5</f>
      </c>
      <c r="F12" s="3" t="inlineStr">
        <is>
          <t xml:space="preserve">Res. CNPE 9/2026 (vigente desde 01/08/2026, 180 dias)</t>
        </is>
      </c>
      <c r="G12" s="9" t="inlineStr">
        <is>
          <t xml:space="preserve">08/10/2026</t>
        </is>
      </c>
      <c r="H12" s="9" t="inlineStr">
        <is>
          <t xml:space="preserve">Teor verificado; AFR/densidade calculados</t>
        </is>
      </c>
    </row>
    <row r="13">
      <c r="A13" s="0" t="inlineStr">
        <is>
          <t xml:space="preserve">Gasolina C premium (E25)</t>
        </is>
      </c>
      <c r="B13" s="0">
        <v>0.25</v>
      </c>
      <c r="C13" s="3">
        <f>B13*$B$6/(B13*$B$6+(1-B13)*$B$5)</f>
      </c>
      <c r="D13" s="3">
        <f>C13*$B$4+(1-C13)*$B$3</f>
      </c>
      <c r="E13" s="3">
        <f>B13*$B$6+(1-B13)*$B$5</f>
      </c>
      <c r="F13" s="3" t="inlineStr">
        <is>
          <t xml:space="preserve">ANP, comunicado E32 (premium mantida em 25%)</t>
        </is>
      </c>
      <c r="G13" s="9" t="inlineStr">
        <is>
          <t xml:space="preserve">08/10/2026</t>
        </is>
      </c>
      <c r="H13" s="9" t="inlineStr">
        <is>
          <t xml:space="preserve">Teor verificado; AFR/densidade calculados</t>
        </is>
      </c>
    </row>
    <row r="14">
      <c r="A14" s="0" t="inlineStr">
        <is>
          <t xml:space="preserve">Etanol anidro (EAC)</t>
        </is>
      </c>
      <c r="B14" s="0">
        <v>1</v>
      </c>
      <c r="C14" s="3">
        <f>B14*$B$6/(B14*$B$6+(1-B14)*$B$5)</f>
      </c>
      <c r="D14" s="3">
        <f>C14*$B$4+(1-C14)*$B$3</f>
      </c>
      <c r="E14" s="3">
        <f>B14*$B$6+(1-B14)*$B$5</f>
      </c>
      <c r="F14" s="3" t="inlineStr">
        <is>
          <t xml:space="preserve">Literatura</t>
        </is>
      </c>
      <c r="H14" s="9" t="inlineStr">
        <is>
          <t xml:space="preserve">Não verificado</t>
        </is>
      </c>
    </row>
    <row r="15">
      <c r="A15" s="0" t="inlineStr">
        <is>
          <t xml:space="preserve">Etanol hidratado (EHC)</t>
        </is>
      </c>
      <c r="B15" s="0" t="inlineStr">
        <is>
          <t xml:space="preserve">-</t>
        </is>
      </c>
      <c r="C15" s="3">
        <f>$B$7</f>
      </c>
      <c r="D15" s="3">
        <f>$B$4*$B$7</f>
      </c>
      <c r="E15" s="3">
        <f>$B$8</f>
      </c>
      <c r="F15" s="3" t="inlineStr">
        <is>
          <t xml:space="preserve">Res. ANP 907/2022 (água não queima: AFR = 9,0 x fração de etanol)</t>
        </is>
      </c>
      <c r="H15" s="9" t="inlineStr">
        <is>
          <t xml:space="preserve">Não verificado</t>
        </is>
      </c>
    </row>
    <row r="17">
      <c r="A17" s="9" t="inlineStr">
        <is>
          <t xml:space="preserve">Obs.: E32 é temporário (180 dias a partir de 01/08/2026, prorrogável uma vez). Ao vencer, conferir se volta a E30 e atualizar a linha 12 com nova data - por isso o catálogo é versionado.</t>
        </is>
      </c>
    </row>
  </sheetData>
</worksheet>
</file>

<file path=xl/worksheets/sheet4.xml><?xml version="1.0" encoding="utf-8"?>
<worksheet xmlns="http://schemas.openxmlformats.org/spreadsheetml/2006/main">
  <sheetViews>
    <sheetView workbookViewId="0"/>
  </sheetViews>
  <cols>
    <col min="1" max="1" width="28" customWidth="1"/>
    <col min="2" max="2" width="12" customWidth="1"/>
    <col min="3" max="3" width="20" customWidth="1"/>
    <col min="4" max="4" width="18" customWidth="1"/>
    <col min="5" max="5" width="14" customWidth="1"/>
    <col min="6" max="6" width="4" customWidth="1"/>
    <col min="7" max="7" width="40" customWidth="1"/>
  </cols>
  <sheetData>
    <row r="1">
      <c r="A1" s="6" t="inlineStr">
        <is>
          <t xml:space="preserve">Exemplo resolvido do documento do projeto</t>
        </is>
      </c>
    </row>
    <row r="2">
      <c r="A2" s="9" t="inlineStr">
        <is>
          <t xml:space="preserve">Copiar aqui as entradas e os resultados do exemplo do documento. Depois lançar as mesmas entradas numa coluna da aba Cadeia e comparar.</t>
        </is>
      </c>
    </row>
    <row r="4">
      <c r="A4" s="1" t="inlineStr">
        <is>
          <t xml:space="preserve">Item</t>
        </is>
      </c>
      <c r="B4" s="1" t="inlineStr">
        <is>
          <t xml:space="preserve">Unidade</t>
        </is>
      </c>
      <c r="C4" s="0" t="inlineStr">
        <is>
          <t xml:space="preserve">Valor do documento</t>
        </is>
      </c>
      <c r="D4" s="0" t="inlineStr">
        <is>
          <t xml:space="preserve">Valor da planilha</t>
        </is>
      </c>
      <c r="E4" s="0" t="inlineStr">
        <is>
          <t xml:space="preserve">Diferença %</t>
        </is>
      </c>
      <c r="G4" s="9" t="inlineStr">
        <is>
          <t xml:space="preserve">Observação</t>
        </is>
      </c>
    </row>
    <row r="5">
      <c r="A5" s="0" t="inlineStr">
        <is>
          <t xml:space="preserve">Vazão de ar</t>
        </is>
      </c>
      <c r="B5" s="0" t="inlineStr">
        <is>
          <t xml:space="preserve">lb/min</t>
        </is>
      </c>
      <c r="E5" s="2">
        <f>IF(AND(ISNUMBER(C5),ISNUMBER(D5)),(D5-C5)/C5,"")</f>
      </c>
    </row>
    <row r="6">
      <c r="A6" s="0" t="inlineStr">
        <is>
          <t xml:space="preserve">MAP necessária</t>
        </is>
      </c>
      <c r="B6" s="0" t="inlineStr">
        <is>
          <t xml:space="preserve">psia</t>
        </is>
      </c>
      <c r="E6" s="2">
        <f>IF(AND(ISNUMBER(C6),ISNUMBER(D6)),(D6-C6)/C6,"")</f>
      </c>
    </row>
    <row r="7">
      <c r="A7" s="0" t="inlineStr">
        <is>
          <t xml:space="preserve">Razão de pressão</t>
        </is>
      </c>
      <c r="B7" s="0" t="inlineStr">
        <is>
          <t xml:space="preserve">-</t>
        </is>
      </c>
      <c r="E7" s="2">
        <f>IF(AND(ISNUMBER(C7),ISNUMBER(D7)),(D7-C7)/C7,"")</f>
      </c>
    </row>
    <row r="8">
      <c r="A8" s="0" t="inlineStr">
        <is>
          <t xml:space="preserve">Vazão de combustível</t>
        </is>
      </c>
      <c r="B8" s="0" t="inlineStr">
        <is>
          <t xml:space="preserve">cm³/min</t>
        </is>
      </c>
      <c r="E8" s="2">
        <f>IF(AND(ISNUMBER(C8),ISNUMBER(D8)),(D8-C8)/C8,"")</f>
      </c>
    </row>
    <row r="9">
      <c r="A9" s="0" t="inlineStr">
        <is>
          <t xml:space="preserve">Uso do injetor</t>
        </is>
      </c>
      <c r="B9" s="0" t="inlineStr">
        <is>
          <t xml:space="preserve">%</t>
        </is>
      </c>
      <c r="E9" s="2">
        <f>IF(AND(ISNUMBER(C9),ISNUMBER(D9)),(D9-C9)/C9,"")</f>
      </c>
    </row>
    <row r="10">
      <c r="A10" s="0" t="inlineStr">
        <is>
          <t xml:space="preserve">Tempo de injeção</t>
        </is>
      </c>
      <c r="B10" s="0" t="inlineStr">
        <is>
          <t xml:space="preserve">ms</t>
        </is>
      </c>
      <c r="E10" s="2">
        <f>IF(AND(ISNUMBER(C10),ISNUMBER(D10)),(D10-C10)/C10,"")</f>
      </c>
    </row>
  </sheetData>
</worksheet>
</file>